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applications\ESB Reutlingen\Einladung_Vorsingen\Präsentation\data\"/>
    </mc:Choice>
  </mc:AlternateContent>
  <xr:revisionPtr revIDLastSave="0" documentId="8_{701FFA30-406C-48FF-9347-BDE0CAFFF4A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Jährlich" sheetId="2" r:id="rId1"/>
    <sheet name="Litecoi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3" l="1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G271" i="3"/>
  <c r="H272" i="3"/>
  <c r="G272" i="3"/>
  <c r="G273" i="3"/>
  <c r="H273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16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12" i="3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38" i="2"/>
  <c r="D37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4" i="2"/>
  <c r="D3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38" i="2"/>
  <c r="L90" i="2"/>
  <c r="L88" i="2"/>
  <c r="K89" i="2"/>
  <c r="K87" i="2"/>
  <c r="L89" i="2"/>
  <c r="K88" i="2"/>
  <c r="J88" i="2"/>
  <c r="J87" i="2"/>
  <c r="J86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38" i="2"/>
</calcChain>
</file>

<file path=xl/sharedStrings.xml><?xml version="1.0" encoding="utf-8"?>
<sst xmlns="http://schemas.openxmlformats.org/spreadsheetml/2006/main" count="33" uniqueCount="25">
  <si>
    <t>2015 = 100.</t>
  </si>
  <si>
    <t>T</t>
  </si>
  <si>
    <t>HVPI</t>
  </si>
  <si>
    <t>2015 = 100</t>
  </si>
  <si>
    <t xml:space="preserve">Inflation </t>
  </si>
  <si>
    <t>Mittelwert</t>
  </si>
  <si>
    <t>Quelle: Eurostat.</t>
  </si>
  <si>
    <t>Basisjahr: 2015.</t>
  </si>
  <si>
    <t>Inflationsziel</t>
  </si>
  <si>
    <t>Kaufkraft</t>
  </si>
  <si>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</si>
  <si>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</si>
  <si>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</si>
  <si>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</si>
  <si>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</si>
  <si>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</si>
  <si>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CBLTCUSD</t>
  </si>
  <si>
    <t>observation_date</t>
  </si>
  <si>
    <t>Coinbase Litecoin, U.S. Dollars, Weekly, Not Seasonally Adjusted</t>
  </si>
  <si>
    <t>Frequency: Weekly, Ending Sunday</t>
  </si>
  <si>
    <t>DEXUSEU</t>
  </si>
  <si>
    <t>EURO per USD</t>
  </si>
  <si>
    <t>EUR per Litecoin</t>
  </si>
  <si>
    <t>Wachstum monatlich</t>
  </si>
  <si>
    <t>Quelle: Coinbase.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</si>
</sst>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yyyy\-mm\-dd;@"/>
    <numFmt numFmtId="166" formatCode="yyyy\-mm\-dd"/>
    <numFmt numFmtId="167" formatCode="0.0000"/>
    <numFmt numFmtId="168" formatCode="[$-407]mmmm\ yy;@"/>
  </numFmts>
  <fonts count="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1" applyFont="1" applyAlignment="1">
      <alignment horizontal="right"/>
    </xf>
    <xf numFmtId="165" fontId="0" fillId="0" borderId="0" xfId="0" applyNumberFormat="1"/>
    <xf numFmtId="2" fontId="0" fillId="0" borderId="0" xfId="0" applyNumberFormat="1"/>
    <xf numFmtId="49" fontId="0" fillId="0" borderId="0" xfId="0" applyNumberFormat="1"/>
    <xf numFmtId="164" fontId="3" fillId="0" borderId="0" xfId="1" applyNumberFormat="1" applyFont="1" applyAlignment="1">
      <alignment horizontal="right"/>
    </xf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/>
    <xf numFmtId="166" fontId="0" fillId="0" borderId="0" xfId="0" applyNumberFormat="1"/>
    <xf numFmtId="2" fontId="0" fillId="0" borderId="0" xfId="0" applyNumberFormat="1"/>
    <xf numFmtId="0" fontId="0" fillId="0" borderId="0" xfId="0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2">
    <cellStyle name="Standard" xfId="0" builtinId="0"/>
    <cellStyle name="Standard 2" xfId="1" xr:uid="{F921C50A-CA16-4A12-A157-1496D741A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Harmonisierter Verbraucherpreisindex (HVPI) für Deutschland</a:t>
            </a:r>
            <a:endParaRPr lang="en-US" sz="14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Jährlich!$A$3:$A$25</c:f>
              <c:numCache>
                <c:formatCode>@</c:formatCode>
                <c:ptCount val="2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numCache>
            </c:numRef>
          </c:cat>
          <c:val>
            <c:numRef>
              <c:f>Jährlich!$B$3:$B$25</c:f>
              <c:numCache>
                <c:formatCode>General</c:formatCode>
                <c:ptCount val="23"/>
                <c:pt idx="0">
                  <c:v>77.8</c:v>
                </c:pt>
                <c:pt idx="1">
                  <c:v>78.900000000000006</c:v>
                </c:pt>
                <c:pt idx="2">
                  <c:v>80.400000000000006</c:v>
                </c:pt>
                <c:pt idx="3">
                  <c:v>81.5</c:v>
                </c:pt>
                <c:pt idx="4">
                  <c:v>82.4</c:v>
                </c:pt>
                <c:pt idx="5">
                  <c:v>83.8</c:v>
                </c:pt>
                <c:pt idx="6">
                  <c:v>85.5</c:v>
                </c:pt>
                <c:pt idx="7">
                  <c:v>87</c:v>
                </c:pt>
                <c:pt idx="8">
                  <c:v>89</c:v>
                </c:pt>
                <c:pt idx="9">
                  <c:v>91.4</c:v>
                </c:pt>
                <c:pt idx="10">
                  <c:v>91.6</c:v>
                </c:pt>
                <c:pt idx="11">
                  <c:v>92.7</c:v>
                </c:pt>
                <c:pt idx="12">
                  <c:v>95</c:v>
                </c:pt>
                <c:pt idx="13">
                  <c:v>97</c:v>
                </c:pt>
                <c:pt idx="14">
                  <c:v>98.6</c:v>
                </c:pt>
                <c:pt idx="15">
                  <c:v>99.3</c:v>
                </c:pt>
                <c:pt idx="16">
                  <c:v>100</c:v>
                </c:pt>
                <c:pt idx="17">
                  <c:v>100.4</c:v>
                </c:pt>
                <c:pt idx="18">
                  <c:v>102.1</c:v>
                </c:pt>
                <c:pt idx="19">
                  <c:v>104</c:v>
                </c:pt>
                <c:pt idx="20">
                  <c:v>105.5</c:v>
                </c:pt>
                <c:pt idx="21">
                  <c:v>105.8</c:v>
                </c:pt>
                <c:pt idx="22">
                  <c:v>109.2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F-42DF-9786-238A9533A8DE}"/>
            </c:ext>
          </c:extLst>
        </c:ser>
        <c:ser>
          <c:idx val="0"/>
          <c:order val="1"/>
          <c:tx>
            <c:v>100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Jährlich!$C$3:$C$25</c:f>
              <c:numCache>
                <c:formatCode>General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EF-42DF-9786-238A9533A8DE}"/>
            </c:ext>
          </c:extLst>
        </c:ser>
        <c:ser>
          <c:idx val="2"/>
          <c:order val="2"/>
          <c:tx>
            <c:strRef>
              <c:f>Jährlich!$D$1</c:f>
              <c:strCache>
                <c:ptCount val="1"/>
                <c:pt idx="0">
                  <c:v>Kaufkraft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Jährlich!$D$3:$D$25</c:f>
              <c:numCache>
                <c:formatCode>General</c:formatCode>
                <c:ptCount val="23"/>
                <c:pt idx="0">
                  <c:v>128.53470437017995</c:v>
                </c:pt>
                <c:pt idx="1">
                  <c:v>126.74271229404309</c:v>
                </c:pt>
                <c:pt idx="2">
                  <c:v>124.37810945273631</c:v>
                </c:pt>
                <c:pt idx="3">
                  <c:v>122.69938650306749</c:v>
                </c:pt>
                <c:pt idx="4">
                  <c:v>121.35922330097087</c:v>
                </c:pt>
                <c:pt idx="5">
                  <c:v>119.33174224343675</c:v>
                </c:pt>
                <c:pt idx="6">
                  <c:v>116.95906432748538</c:v>
                </c:pt>
                <c:pt idx="7">
                  <c:v>114.94252873563218</c:v>
                </c:pt>
                <c:pt idx="8">
                  <c:v>112.35955056179773</c:v>
                </c:pt>
                <c:pt idx="9">
                  <c:v>109.40919037199124</c:v>
                </c:pt>
                <c:pt idx="10">
                  <c:v>109.1703056768559</c:v>
                </c:pt>
                <c:pt idx="11">
                  <c:v>107.87486515641855</c:v>
                </c:pt>
                <c:pt idx="12">
                  <c:v>105.26315789473684</c:v>
                </c:pt>
                <c:pt idx="13">
                  <c:v>103.09278350515463</c:v>
                </c:pt>
                <c:pt idx="14">
                  <c:v>101.41987829614605</c:v>
                </c:pt>
                <c:pt idx="15">
                  <c:v>100.70493454179254</c:v>
                </c:pt>
                <c:pt idx="16">
                  <c:v>100</c:v>
                </c:pt>
                <c:pt idx="17">
                  <c:v>99.601593625498012</c:v>
                </c:pt>
                <c:pt idx="18">
                  <c:v>97.943192948090115</c:v>
                </c:pt>
                <c:pt idx="19">
                  <c:v>96.15384615384616</c:v>
                </c:pt>
                <c:pt idx="20">
                  <c:v>94.786729857819907</c:v>
                </c:pt>
                <c:pt idx="21">
                  <c:v>94.517958412098295</c:v>
                </c:pt>
                <c:pt idx="22">
                  <c:v>91.575091575091577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E-4037-8D13-639D84D83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419320"/>
        <c:axId val="512420280"/>
      </c:lineChart>
      <c:dateAx>
        <c:axId val="512419320"/>
        <c:scaling>
          <c:orientation val="minMax"/>
        </c:scaling>
        <c:delete val="0"/>
        <c:axPos val="b"/>
        <c:numFmt formatCode="@" sourceLinked="1"/>
        <c:majorTickMark val="in"/>
        <c:minorTickMark val="none"/>
        <c:tickLblPos val="nextTo"/>
        <c:spPr>
          <a:noFill/>
          <a:ln w="25400" cap="sq" cmpd="thickThin" algn="ctr">
            <a:solidFill>
              <a:schemeClr val="bg1">
                <a:lumMod val="50000"/>
              </a:schemeClr>
            </a:solidFill>
            <a:round/>
            <a:tailEnd w="sm" len="med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20280"/>
        <c:crosses val="autoZero"/>
        <c:auto val="0"/>
        <c:lblOffset val="100"/>
        <c:baseTimeUnit val="days"/>
      </c:dateAx>
      <c:valAx>
        <c:axId val="512420280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1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Inflationsrate (HVPI) für Deutschland</a:t>
            </a:r>
            <a:endParaRPr lang="en-US" sz="14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pi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Jährlich!$A$38:$A$60</c:f>
              <c:numCache>
                <c:formatCode>@</c:formatCode>
                <c:ptCount val="2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numCache>
            </c:numRef>
          </c:cat>
          <c:val>
            <c:numRef>
              <c:f>Jährlich!$B$38:$B$60</c:f>
              <c:numCache>
                <c:formatCode>0.0</c:formatCode>
                <c:ptCount val="23"/>
                <c:pt idx="0">
                  <c:v>0.64683053040104355</c:v>
                </c:pt>
                <c:pt idx="1">
                  <c:v>1.413881748071999</c:v>
                </c:pt>
                <c:pt idx="2">
                  <c:v>1.9011406844106515</c:v>
                </c:pt>
                <c:pt idx="3">
                  <c:v>1.3681592039801016</c:v>
                </c:pt>
                <c:pt idx="4">
                  <c:v>1.1042944785276232</c:v>
                </c:pt>
                <c:pt idx="5">
                  <c:v>1.6990291262135804</c:v>
                </c:pt>
                <c:pt idx="6">
                  <c:v>2.0286396181384392</c:v>
                </c:pt>
                <c:pt idx="7">
                  <c:v>1.7543859649122862</c:v>
                </c:pt>
                <c:pt idx="8">
                  <c:v>2.2988505747126409</c:v>
                </c:pt>
                <c:pt idx="9">
                  <c:v>2.6966292134831482</c:v>
                </c:pt>
                <c:pt idx="10">
                  <c:v>0.21881838074397919</c:v>
                </c:pt>
                <c:pt idx="11">
                  <c:v>1.2008733624454315</c:v>
                </c:pt>
                <c:pt idx="12">
                  <c:v>2.4811218985976158</c:v>
                </c:pt>
                <c:pt idx="13">
                  <c:v>2.1052631578947434</c:v>
                </c:pt>
                <c:pt idx="14">
                  <c:v>1.6494845360824684</c:v>
                </c:pt>
                <c:pt idx="15">
                  <c:v>0.70993914807302438</c:v>
                </c:pt>
                <c:pt idx="16">
                  <c:v>0.70493454179254567</c:v>
                </c:pt>
                <c:pt idx="17">
                  <c:v>0.40000000000000036</c:v>
                </c:pt>
                <c:pt idx="18">
                  <c:v>1.6932270916334646</c:v>
                </c:pt>
                <c:pt idx="19">
                  <c:v>1.8609206660137101</c:v>
                </c:pt>
                <c:pt idx="20">
                  <c:v>1.4423076923076872</c:v>
                </c:pt>
                <c:pt idx="21">
                  <c:v>0.28436018957345155</c:v>
                </c:pt>
                <c:pt idx="22">
                  <c:v>3.2136105860113506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3-48E8-BEDE-ABE4CF5E8850}"/>
            </c:ext>
          </c:extLst>
        </c:ser>
        <c:ser>
          <c:idx val="0"/>
          <c:order val="1"/>
          <c:tx>
            <c:v>Mittelwert</c:v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Jährlich!$D$38:$D$60</c:f>
              <c:numCache>
                <c:formatCode>General</c:formatCode>
                <c:ptCount val="23"/>
                <c:pt idx="0">
                  <c:v>1.5134563513282462</c:v>
                </c:pt>
                <c:pt idx="1">
                  <c:v>1.5134563513282462</c:v>
                </c:pt>
                <c:pt idx="2">
                  <c:v>1.5134563513282462</c:v>
                </c:pt>
                <c:pt idx="3">
                  <c:v>1.5134563513282462</c:v>
                </c:pt>
                <c:pt idx="4">
                  <c:v>1.5134563513282462</c:v>
                </c:pt>
                <c:pt idx="5">
                  <c:v>1.5134563513282462</c:v>
                </c:pt>
                <c:pt idx="6">
                  <c:v>1.5134563513282462</c:v>
                </c:pt>
                <c:pt idx="7">
                  <c:v>1.5134563513282462</c:v>
                </c:pt>
                <c:pt idx="8">
                  <c:v>1.5134563513282462</c:v>
                </c:pt>
                <c:pt idx="9">
                  <c:v>1.5134563513282462</c:v>
                </c:pt>
                <c:pt idx="10">
                  <c:v>1.5134563513282462</c:v>
                </c:pt>
                <c:pt idx="11">
                  <c:v>1.5134563513282462</c:v>
                </c:pt>
                <c:pt idx="12">
                  <c:v>1.5134563513282462</c:v>
                </c:pt>
                <c:pt idx="13">
                  <c:v>1.5134563513282462</c:v>
                </c:pt>
                <c:pt idx="14">
                  <c:v>1.5134563513282462</c:v>
                </c:pt>
                <c:pt idx="15">
                  <c:v>1.5134563513282462</c:v>
                </c:pt>
                <c:pt idx="16">
                  <c:v>1.5134563513282462</c:v>
                </c:pt>
                <c:pt idx="17">
                  <c:v>1.5134563513282462</c:v>
                </c:pt>
                <c:pt idx="18">
                  <c:v>1.5134563513282462</c:v>
                </c:pt>
                <c:pt idx="19">
                  <c:v>1.5134563513282462</c:v>
                </c:pt>
                <c:pt idx="20">
                  <c:v>1.5134563513282462</c:v>
                </c:pt>
                <c:pt idx="21">
                  <c:v>1.5134563513282462</c:v>
                </c:pt>
                <c:pt idx="22">
                  <c:v>1.5134563513282462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03-48E8-BEDE-ABE4CF5E8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419320"/>
        <c:axId val="512420280"/>
      </c:lineChart>
      <c:dateAx>
        <c:axId val="512419320"/>
        <c:scaling>
          <c:orientation val="minMax"/>
        </c:scaling>
        <c:delete val="0"/>
        <c:axPos val="b"/>
        <c:numFmt formatCode="@" sourceLinked="1"/>
        <c:majorTickMark val="in"/>
        <c:minorTickMark val="none"/>
        <c:tickLblPos val="nextTo"/>
        <c:spPr>
          <a:noFill/>
          <a:ln w="25400" cap="sq" cmpd="thickThin" algn="ctr">
            <a:solidFill>
              <a:schemeClr val="bg1">
                <a:lumMod val="50000"/>
              </a:schemeClr>
            </a:solidFill>
            <a:round/>
            <a:tailEnd w="sm" len="med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20280"/>
        <c:crosses val="autoZero"/>
        <c:auto val="0"/>
        <c:lblOffset val="100"/>
        <c:baseTimeUnit val="days"/>
      </c:dateAx>
      <c:valAx>
        <c:axId val="512420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193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Inflationsrate (HVPI) für Deutschland</a:t>
            </a:r>
            <a:endParaRPr lang="en-US" sz="14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Inflationsziel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Jährlich!$A$71:$A$93</c:f>
              <c:numCache>
                <c:formatCode>@</c:formatCode>
                <c:ptCount val="2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numCache>
            </c:numRef>
          </c:cat>
          <c:val>
            <c:numRef>
              <c:f>Jährlich!$D$71:$D$93</c:f>
              <c:numCache>
                <c:formatCode>General</c:formatCode>
                <c:ptCount val="2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36-4E6F-98FE-F606FD95552C}"/>
            </c:ext>
          </c:extLst>
        </c:ser>
        <c:ser>
          <c:idx val="0"/>
          <c:order val="1"/>
          <c:tx>
            <c:v>Inflation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Jährlich!$A$71:$A$93</c:f>
              <c:numCache>
                <c:formatCode>@</c:formatCode>
                <c:ptCount val="2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numCache>
            </c:numRef>
          </c:cat>
          <c:val>
            <c:numRef>
              <c:f>Jährlich!$B$71:$B$93</c:f>
              <c:numCache>
                <c:formatCode>0.0</c:formatCode>
                <c:ptCount val="23"/>
                <c:pt idx="0">
                  <c:v>0.64683053040104355</c:v>
                </c:pt>
                <c:pt idx="1">
                  <c:v>1.413881748071999</c:v>
                </c:pt>
                <c:pt idx="2">
                  <c:v>1.9011406844106515</c:v>
                </c:pt>
                <c:pt idx="3">
                  <c:v>1.3681592039801016</c:v>
                </c:pt>
                <c:pt idx="4">
                  <c:v>1.1042944785276232</c:v>
                </c:pt>
                <c:pt idx="5">
                  <c:v>1.6990291262135804</c:v>
                </c:pt>
                <c:pt idx="6">
                  <c:v>2.0286396181384392</c:v>
                </c:pt>
                <c:pt idx="7">
                  <c:v>1.7543859649122862</c:v>
                </c:pt>
                <c:pt idx="8">
                  <c:v>2.2988505747126409</c:v>
                </c:pt>
                <c:pt idx="9">
                  <c:v>2.6966292134831482</c:v>
                </c:pt>
                <c:pt idx="10">
                  <c:v>0.21881838074397919</c:v>
                </c:pt>
                <c:pt idx="11">
                  <c:v>1.2008733624454315</c:v>
                </c:pt>
                <c:pt idx="12">
                  <c:v>2.4811218985976158</c:v>
                </c:pt>
                <c:pt idx="13">
                  <c:v>2.1052631578947434</c:v>
                </c:pt>
                <c:pt idx="14">
                  <c:v>1.6494845360824684</c:v>
                </c:pt>
                <c:pt idx="15">
                  <c:v>0.70993914807302438</c:v>
                </c:pt>
                <c:pt idx="16">
                  <c:v>0.70493454179254567</c:v>
                </c:pt>
                <c:pt idx="17">
                  <c:v>0.40000000000000036</c:v>
                </c:pt>
                <c:pt idx="18">
                  <c:v>1.6932270916334646</c:v>
                </c:pt>
                <c:pt idx="19">
                  <c:v>1.8609206660137101</c:v>
                </c:pt>
                <c:pt idx="20">
                  <c:v>1.4423076923076872</c:v>
                </c:pt>
                <c:pt idx="21">
                  <c:v>0.28436018957345155</c:v>
                </c:pt>
                <c:pt idx="22">
                  <c:v>3.2136105860113506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36-4E6F-98FE-F606FD95552C}"/>
            </c:ext>
          </c:extLst>
        </c:ser>
        <c:ser>
          <c:idx val="2"/>
          <c:order val="2"/>
          <c:tx>
            <c:strRef>
              <c:f>Jährlich!$J$69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Jährlich!$J$71:$J$93</c:f>
              <c:numCache>
                <c:formatCode>General</c:formatCode>
                <c:ptCount val="23"/>
                <c:pt idx="15" formatCode="0.0">
                  <c:v>0.70493454179254567</c:v>
                </c:pt>
                <c:pt idx="16" formatCode="0.0">
                  <c:v>0.70493454179254567</c:v>
                </c:pt>
                <c:pt idx="17" formatCode="0.0">
                  <c:v>0.70493454179254567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36-4E6F-98FE-F606FD95552C}"/>
            </c:ext>
          </c:extLst>
        </c:ser>
        <c:ser>
          <c:idx val="3"/>
          <c:order val="3"/>
          <c:tx>
            <c:strRef>
              <c:f>Jährlich!$K$69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Jährlich!$K$71:$K$93</c:f>
              <c:numCache>
                <c:formatCode>General</c:formatCode>
                <c:ptCount val="23"/>
                <c:pt idx="16" formatCode="0.0">
                  <c:v>0.40000000000000036</c:v>
                </c:pt>
                <c:pt idx="17" formatCode="0.0">
                  <c:v>0.40000000000000036</c:v>
                </c:pt>
                <c:pt idx="18" formatCode="0.0">
                  <c:v>0.40000000000000036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36-4E6F-98FE-F606FD95552C}"/>
            </c:ext>
          </c:extLst>
        </c:ser>
        <c:ser>
          <c:idx val="4"/>
          <c:order val="4"/>
          <c:tx>
            <c:strRef>
              <c:f>Jährlich!$L$69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Jährlich!$L$71:$L$93</c:f>
              <c:numCache>
                <c:formatCode>General</c:formatCode>
                <c:ptCount val="23"/>
                <c:pt idx="17" formatCode="0.0">
                  <c:v>1.6932270916334646</c:v>
                </c:pt>
                <c:pt idx="18" formatCode="0.0">
                  <c:v>1.6932270916334646</c:v>
                </c:pt>
                <c:pt idx="19" formatCode="0.0">
                  <c:v>1.6932270916334646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36-4E6F-98FE-F606FD955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419320"/>
        <c:axId val="512420280"/>
      </c:lineChart>
      <c:catAx>
        <c:axId val="512419320"/>
        <c:scaling>
          <c:orientation val="minMax"/>
        </c:scaling>
        <c:delete val="0"/>
        <c:axPos val="b"/>
        <c:numFmt formatCode="@" sourceLinked="1"/>
        <c:majorTickMark val="in"/>
        <c:minorTickMark val="none"/>
        <c:tickLblPos val="nextTo"/>
        <c:spPr>
          <a:noFill/>
          <a:ln w="25400" cap="sq" cmpd="thickThin" algn="ctr">
            <a:solidFill>
              <a:schemeClr val="bg1">
                <a:lumMod val="50000"/>
              </a:schemeClr>
            </a:solidFill>
            <a:round/>
            <a:tailEnd w="sm" len="med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20280"/>
        <c:crosses val="autoZero"/>
        <c:auto val="1"/>
        <c:lblAlgn val="ctr"/>
        <c:lblOffset val="100"/>
        <c:noMultiLvlLbl val="0"/>
      </c:catAx>
      <c:valAx>
        <c:axId val="512420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193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Monatl. Veränderung Euro / Litecoin - Kurs in %</a:t>
            </a:r>
            <a:endParaRPr lang="en-US" sz="14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Litecoin!$A$109:$A$272</c:f>
              <c:numCache>
                <c:formatCode>[$-407]mmmm\ yy;@</c:formatCode>
                <c:ptCount val="164"/>
                <c:pt idx="0">
                  <c:v>43471</c:v>
                </c:pt>
                <c:pt idx="1">
                  <c:v>43478</c:v>
                </c:pt>
                <c:pt idx="2">
                  <c:v>43485</c:v>
                </c:pt>
                <c:pt idx="3">
                  <c:v>43492</c:v>
                </c:pt>
                <c:pt idx="4">
                  <c:v>43499</c:v>
                </c:pt>
                <c:pt idx="5">
                  <c:v>43506</c:v>
                </c:pt>
                <c:pt idx="6">
                  <c:v>43513</c:v>
                </c:pt>
                <c:pt idx="7">
                  <c:v>43520</c:v>
                </c:pt>
                <c:pt idx="8">
                  <c:v>43527</c:v>
                </c:pt>
                <c:pt idx="9">
                  <c:v>43534</c:v>
                </c:pt>
                <c:pt idx="10">
                  <c:v>43541</c:v>
                </c:pt>
                <c:pt idx="11">
                  <c:v>43548</c:v>
                </c:pt>
                <c:pt idx="12">
                  <c:v>43555</c:v>
                </c:pt>
                <c:pt idx="13">
                  <c:v>43562</c:v>
                </c:pt>
                <c:pt idx="14">
                  <c:v>43569</c:v>
                </c:pt>
                <c:pt idx="15">
                  <c:v>43576</c:v>
                </c:pt>
                <c:pt idx="16">
                  <c:v>43583</c:v>
                </c:pt>
                <c:pt idx="17">
                  <c:v>43590</c:v>
                </c:pt>
                <c:pt idx="18">
                  <c:v>43597</c:v>
                </c:pt>
                <c:pt idx="19">
                  <c:v>43604</c:v>
                </c:pt>
                <c:pt idx="20">
                  <c:v>43611</c:v>
                </c:pt>
                <c:pt idx="21">
                  <c:v>43618</c:v>
                </c:pt>
                <c:pt idx="22">
                  <c:v>43625</c:v>
                </c:pt>
                <c:pt idx="23">
                  <c:v>43632</c:v>
                </c:pt>
                <c:pt idx="24">
                  <c:v>43639</c:v>
                </c:pt>
                <c:pt idx="25">
                  <c:v>43646</c:v>
                </c:pt>
                <c:pt idx="26">
                  <c:v>43653</c:v>
                </c:pt>
                <c:pt idx="27">
                  <c:v>43660</c:v>
                </c:pt>
                <c:pt idx="28">
                  <c:v>43667</c:v>
                </c:pt>
                <c:pt idx="29">
                  <c:v>43674</c:v>
                </c:pt>
                <c:pt idx="30">
                  <c:v>43681</c:v>
                </c:pt>
                <c:pt idx="31">
                  <c:v>43688</c:v>
                </c:pt>
                <c:pt idx="32">
                  <c:v>43695</c:v>
                </c:pt>
                <c:pt idx="33">
                  <c:v>43702</c:v>
                </c:pt>
                <c:pt idx="34">
                  <c:v>43709</c:v>
                </c:pt>
                <c:pt idx="35">
                  <c:v>43716</c:v>
                </c:pt>
                <c:pt idx="36">
                  <c:v>43723</c:v>
                </c:pt>
                <c:pt idx="37">
                  <c:v>43730</c:v>
                </c:pt>
                <c:pt idx="38">
                  <c:v>43737</c:v>
                </c:pt>
                <c:pt idx="39">
                  <c:v>43744</c:v>
                </c:pt>
                <c:pt idx="40">
                  <c:v>43751</c:v>
                </c:pt>
                <c:pt idx="41">
                  <c:v>43758</c:v>
                </c:pt>
                <c:pt idx="42">
                  <c:v>43765</c:v>
                </c:pt>
                <c:pt idx="43">
                  <c:v>43772</c:v>
                </c:pt>
                <c:pt idx="44">
                  <c:v>43779</c:v>
                </c:pt>
                <c:pt idx="45">
                  <c:v>43786</c:v>
                </c:pt>
                <c:pt idx="46">
                  <c:v>43793</c:v>
                </c:pt>
                <c:pt idx="47">
                  <c:v>43800</c:v>
                </c:pt>
                <c:pt idx="48">
                  <c:v>43807</c:v>
                </c:pt>
                <c:pt idx="49">
                  <c:v>43814</c:v>
                </c:pt>
                <c:pt idx="50">
                  <c:v>43821</c:v>
                </c:pt>
                <c:pt idx="51">
                  <c:v>43828</c:v>
                </c:pt>
                <c:pt idx="52">
                  <c:v>43835</c:v>
                </c:pt>
                <c:pt idx="53">
                  <c:v>43842</c:v>
                </c:pt>
                <c:pt idx="54">
                  <c:v>43849</c:v>
                </c:pt>
                <c:pt idx="55">
                  <c:v>43856</c:v>
                </c:pt>
                <c:pt idx="56">
                  <c:v>43863</c:v>
                </c:pt>
                <c:pt idx="57">
                  <c:v>43870</c:v>
                </c:pt>
                <c:pt idx="58">
                  <c:v>43877</c:v>
                </c:pt>
                <c:pt idx="59">
                  <c:v>43884</c:v>
                </c:pt>
                <c:pt idx="60">
                  <c:v>43891</c:v>
                </c:pt>
                <c:pt idx="61">
                  <c:v>43898</c:v>
                </c:pt>
                <c:pt idx="62">
                  <c:v>43905</c:v>
                </c:pt>
                <c:pt idx="63">
                  <c:v>43912</c:v>
                </c:pt>
                <c:pt idx="64">
                  <c:v>43919</c:v>
                </c:pt>
                <c:pt idx="65">
                  <c:v>43926</c:v>
                </c:pt>
                <c:pt idx="66">
                  <c:v>43933</c:v>
                </c:pt>
                <c:pt idx="67">
                  <c:v>43940</c:v>
                </c:pt>
                <c:pt idx="68">
                  <c:v>43947</c:v>
                </c:pt>
                <c:pt idx="69">
                  <c:v>43954</c:v>
                </c:pt>
                <c:pt idx="70">
                  <c:v>43961</c:v>
                </c:pt>
                <c:pt idx="71">
                  <c:v>43968</c:v>
                </c:pt>
                <c:pt idx="72">
                  <c:v>43975</c:v>
                </c:pt>
                <c:pt idx="73">
                  <c:v>43982</c:v>
                </c:pt>
                <c:pt idx="74">
                  <c:v>43989</c:v>
                </c:pt>
                <c:pt idx="75">
                  <c:v>43996</c:v>
                </c:pt>
                <c:pt idx="76">
                  <c:v>44003</c:v>
                </c:pt>
                <c:pt idx="77">
                  <c:v>44010</c:v>
                </c:pt>
                <c:pt idx="78">
                  <c:v>44017</c:v>
                </c:pt>
                <c:pt idx="79">
                  <c:v>44024</c:v>
                </c:pt>
                <c:pt idx="80">
                  <c:v>44031</c:v>
                </c:pt>
                <c:pt idx="81">
                  <c:v>44038</c:v>
                </c:pt>
                <c:pt idx="82">
                  <c:v>44045</c:v>
                </c:pt>
                <c:pt idx="83">
                  <c:v>44052</c:v>
                </c:pt>
                <c:pt idx="84">
                  <c:v>44059</c:v>
                </c:pt>
                <c:pt idx="85">
                  <c:v>44066</c:v>
                </c:pt>
                <c:pt idx="86">
                  <c:v>44073</c:v>
                </c:pt>
                <c:pt idx="87">
                  <c:v>44080</c:v>
                </c:pt>
                <c:pt idx="88">
                  <c:v>44087</c:v>
                </c:pt>
                <c:pt idx="89">
                  <c:v>44094</c:v>
                </c:pt>
                <c:pt idx="90">
                  <c:v>44101</c:v>
                </c:pt>
                <c:pt idx="91">
                  <c:v>44108</c:v>
                </c:pt>
                <c:pt idx="92">
                  <c:v>44115</c:v>
                </c:pt>
                <c:pt idx="93">
                  <c:v>44122</c:v>
                </c:pt>
                <c:pt idx="94">
                  <c:v>44129</c:v>
                </c:pt>
                <c:pt idx="95">
                  <c:v>44136</c:v>
                </c:pt>
                <c:pt idx="96">
                  <c:v>44143</c:v>
                </c:pt>
                <c:pt idx="97">
                  <c:v>44150</c:v>
                </c:pt>
                <c:pt idx="98">
                  <c:v>44157</c:v>
                </c:pt>
                <c:pt idx="99">
                  <c:v>44164</c:v>
                </c:pt>
                <c:pt idx="100">
                  <c:v>44171</c:v>
                </c:pt>
                <c:pt idx="101">
                  <c:v>44178</c:v>
                </c:pt>
                <c:pt idx="102">
                  <c:v>44185</c:v>
                </c:pt>
                <c:pt idx="103">
                  <c:v>44192</c:v>
                </c:pt>
                <c:pt idx="104">
                  <c:v>44199</c:v>
                </c:pt>
                <c:pt idx="105">
                  <c:v>44206</c:v>
                </c:pt>
                <c:pt idx="106">
                  <c:v>44213</c:v>
                </c:pt>
                <c:pt idx="107">
                  <c:v>44220</c:v>
                </c:pt>
                <c:pt idx="108">
                  <c:v>44227</c:v>
                </c:pt>
                <c:pt idx="109">
                  <c:v>44234</c:v>
                </c:pt>
                <c:pt idx="110">
                  <c:v>44241</c:v>
                </c:pt>
                <c:pt idx="111">
                  <c:v>44248</c:v>
                </c:pt>
                <c:pt idx="112">
                  <c:v>44255</c:v>
                </c:pt>
                <c:pt idx="113">
                  <c:v>44262</c:v>
                </c:pt>
                <c:pt idx="114">
                  <c:v>44269</c:v>
                </c:pt>
                <c:pt idx="115">
                  <c:v>44276</c:v>
                </c:pt>
                <c:pt idx="116">
                  <c:v>44283</c:v>
                </c:pt>
                <c:pt idx="117">
                  <c:v>44290</c:v>
                </c:pt>
                <c:pt idx="118">
                  <c:v>44297</c:v>
                </c:pt>
                <c:pt idx="119">
                  <c:v>44304</c:v>
                </c:pt>
                <c:pt idx="120">
                  <c:v>44311</c:v>
                </c:pt>
                <c:pt idx="121">
                  <c:v>44318</c:v>
                </c:pt>
                <c:pt idx="122">
                  <c:v>44325</c:v>
                </c:pt>
                <c:pt idx="123">
                  <c:v>44332</c:v>
                </c:pt>
                <c:pt idx="124">
                  <c:v>44339</c:v>
                </c:pt>
                <c:pt idx="125">
                  <c:v>44346</c:v>
                </c:pt>
                <c:pt idx="126">
                  <c:v>44353</c:v>
                </c:pt>
                <c:pt idx="127">
                  <c:v>44360</c:v>
                </c:pt>
                <c:pt idx="128">
                  <c:v>44367</c:v>
                </c:pt>
                <c:pt idx="129">
                  <c:v>44374</c:v>
                </c:pt>
                <c:pt idx="130">
                  <c:v>44381</c:v>
                </c:pt>
                <c:pt idx="131">
                  <c:v>44388</c:v>
                </c:pt>
                <c:pt idx="132">
                  <c:v>44395</c:v>
                </c:pt>
                <c:pt idx="133">
                  <c:v>44402</c:v>
                </c:pt>
                <c:pt idx="134">
                  <c:v>44409</c:v>
                </c:pt>
                <c:pt idx="135">
                  <c:v>44416</c:v>
                </c:pt>
                <c:pt idx="136">
                  <c:v>44423</c:v>
                </c:pt>
                <c:pt idx="137">
                  <c:v>44430</c:v>
                </c:pt>
                <c:pt idx="138">
                  <c:v>44437</c:v>
                </c:pt>
                <c:pt idx="139">
                  <c:v>44444</c:v>
                </c:pt>
                <c:pt idx="140">
                  <c:v>44451</c:v>
                </c:pt>
                <c:pt idx="141">
                  <c:v>44458</c:v>
                </c:pt>
                <c:pt idx="142">
                  <c:v>44465</c:v>
                </c:pt>
                <c:pt idx="143">
                  <c:v>44472</c:v>
                </c:pt>
                <c:pt idx="144">
                  <c:v>44479</c:v>
                </c:pt>
                <c:pt idx="145">
                  <c:v>44486</c:v>
                </c:pt>
                <c:pt idx="146">
                  <c:v>44493</c:v>
                </c:pt>
                <c:pt idx="147">
                  <c:v>44500</c:v>
                </c:pt>
                <c:pt idx="148">
                  <c:v>44507</c:v>
                </c:pt>
                <c:pt idx="149">
                  <c:v>44514</c:v>
                </c:pt>
                <c:pt idx="150">
                  <c:v>44521</c:v>
                </c:pt>
                <c:pt idx="151">
                  <c:v>44528</c:v>
                </c:pt>
                <c:pt idx="152">
                  <c:v>44535</c:v>
                </c:pt>
                <c:pt idx="153">
                  <c:v>44542</c:v>
                </c:pt>
                <c:pt idx="154">
                  <c:v>44549</c:v>
                </c:pt>
                <c:pt idx="155">
                  <c:v>44556</c:v>
                </c:pt>
                <c:pt idx="156">
                  <c:v>44563</c:v>
                </c:pt>
                <c:pt idx="157">
                  <c:v>44570</c:v>
                </c:pt>
                <c:pt idx="158">
                  <c:v>44577</c:v>
                </c:pt>
                <c:pt idx="159">
                  <c:v>44584</c:v>
                </c:pt>
                <c:pt idx="160">
                  <c:v>44591</c:v>
                </c:pt>
                <c:pt idx="161">
                  <c:v>44598</c:v>
                </c:pt>
                <c:pt idx="162">
                  <c:v>44605</c:v>
                </c:pt>
                <c:pt idx="163">
                  <c:v>44612</c:v>
                </c:pt>
              </c:numCache>
            </c:numRef>
          </c:cat>
          <c:val>
            <c:numRef>
              <c:f>Litecoin!$F$109:$F$272</c:f>
              <c:numCache>
                <c:formatCode>General</c:formatCode>
                <c:ptCount val="164"/>
                <c:pt idx="0">
                  <c:v>21.085830424043973</c:v>
                </c:pt>
                <c:pt idx="1">
                  <c:v>44.33963805449195</c:v>
                </c:pt>
                <c:pt idx="2">
                  <c:v>2.2036439609296243</c:v>
                </c:pt>
                <c:pt idx="3">
                  <c:v>3.8419539925092172</c:v>
                </c:pt>
                <c:pt idx="4">
                  <c:v>-3.5639422057212378</c:v>
                </c:pt>
                <c:pt idx="5">
                  <c:v>10.805009282810364</c:v>
                </c:pt>
                <c:pt idx="6">
                  <c:v>36.070347421567121</c:v>
                </c:pt>
                <c:pt idx="7">
                  <c:v>51.330769681776701</c:v>
                </c:pt>
                <c:pt idx="8">
                  <c:v>45.2145279137983</c:v>
                </c:pt>
                <c:pt idx="9">
                  <c:v>43.530776838548491</c:v>
                </c:pt>
                <c:pt idx="10">
                  <c:v>35.187855340688444</c:v>
                </c:pt>
                <c:pt idx="11">
                  <c:v>23.193139103495763</c:v>
                </c:pt>
                <c:pt idx="12">
                  <c:v>31.406681850430338</c:v>
                </c:pt>
                <c:pt idx="13">
                  <c:v>54.482417658697479</c:v>
                </c:pt>
                <c:pt idx="14">
                  <c:v>45.992259637883556</c:v>
                </c:pt>
                <c:pt idx="15">
                  <c:v>35.798519527755104</c:v>
                </c:pt>
                <c:pt idx="16">
                  <c:v>20.903894681672909</c:v>
                </c:pt>
                <c:pt idx="17">
                  <c:v>-11.44425450395843</c:v>
                </c:pt>
                <c:pt idx="18">
                  <c:v>-6.2792282157826946</c:v>
                </c:pt>
                <c:pt idx="19">
                  <c:v>16.330456272883097</c:v>
                </c:pt>
                <c:pt idx="20">
                  <c:v>34.111826244809798</c:v>
                </c:pt>
                <c:pt idx="21">
                  <c:v>55.419459475986102</c:v>
                </c:pt>
                <c:pt idx="22">
                  <c:v>40.994973137502996</c:v>
                </c:pt>
                <c:pt idx="23">
                  <c:v>44.047029493546844</c:v>
                </c:pt>
                <c:pt idx="24">
                  <c:v>40.813513956558033</c:v>
                </c:pt>
                <c:pt idx="25">
                  <c:v>9.6127256993069778</c:v>
                </c:pt>
                <c:pt idx="26">
                  <c:v>8.6732979950682179</c:v>
                </c:pt>
                <c:pt idx="27">
                  <c:v>-20.083266487238038</c:v>
                </c:pt>
                <c:pt idx="28">
                  <c:v>-30.960565180034948</c:v>
                </c:pt>
                <c:pt idx="29">
                  <c:v>-26.110660441799784</c:v>
                </c:pt>
                <c:pt idx="30">
                  <c:v>-20.236219169944448</c:v>
                </c:pt>
                <c:pt idx="31">
                  <c:v>-15.85937140244188</c:v>
                </c:pt>
                <c:pt idx="32">
                  <c:v>-16.699204337210272</c:v>
                </c:pt>
                <c:pt idx="33">
                  <c:v>-18.95857843713673</c:v>
                </c:pt>
                <c:pt idx="34">
                  <c:v>-28.30966375040731</c:v>
                </c:pt>
                <c:pt idx="35">
                  <c:v>-23.524612611718531</c:v>
                </c:pt>
                <c:pt idx="36">
                  <c:v>-9.5755621866867919</c:v>
                </c:pt>
                <c:pt idx="37">
                  <c:v>1.0181232118606998</c:v>
                </c:pt>
                <c:pt idx="38">
                  <c:v>-14.186585605545432</c:v>
                </c:pt>
                <c:pt idx="39">
                  <c:v>-16.425162744690436</c:v>
                </c:pt>
                <c:pt idx="40">
                  <c:v>-17.948985248584382</c:v>
                </c:pt>
                <c:pt idx="41">
                  <c:v>-27.446959310455622</c:v>
                </c:pt>
                <c:pt idx="42">
                  <c:v>-6.1256927437175595</c:v>
                </c:pt>
                <c:pt idx="43">
                  <c:v>2.5123456587920812</c:v>
                </c:pt>
                <c:pt idx="44">
                  <c:v>8.3552469294976728</c:v>
                </c:pt>
                <c:pt idx="45">
                  <c:v>10.470121006877564</c:v>
                </c:pt>
                <c:pt idx="46">
                  <c:v>-6.2082338666068377</c:v>
                </c:pt>
                <c:pt idx="47">
                  <c:v>-18.358660093699854</c:v>
                </c:pt>
                <c:pt idx="48">
                  <c:v>-27.598541123287688</c:v>
                </c:pt>
                <c:pt idx="49">
                  <c:v>-27.011237973775071</c:v>
                </c:pt>
                <c:pt idx="50">
                  <c:v>-21.899463107354443</c:v>
                </c:pt>
                <c:pt idx="51">
                  <c:v>-13.828725777373519</c:v>
                </c:pt>
                <c:pt idx="52">
                  <c:v>-8.5102129379508451</c:v>
                </c:pt>
                <c:pt idx="53">
                  <c:v>7.7123922251670196</c:v>
                </c:pt>
                <c:pt idx="54">
                  <c:v>43.318287825094458</c:v>
                </c:pt>
                <c:pt idx="55">
                  <c:v>36.456681171084959</c:v>
                </c:pt>
                <c:pt idx="56">
                  <c:v>57.946800505913231</c:v>
                </c:pt>
                <c:pt idx="57">
                  <c:v>55.813851806792989</c:v>
                </c:pt>
                <c:pt idx="58">
                  <c:v>39.667012710503656</c:v>
                </c:pt>
                <c:pt idx="59">
                  <c:v>35.79667380044873</c:v>
                </c:pt>
                <c:pt idx="60">
                  <c:v>-1.1891963362963498</c:v>
                </c:pt>
                <c:pt idx="61">
                  <c:v>-19.221644585507192</c:v>
                </c:pt>
                <c:pt idx="62">
                  <c:v>-48.787638403107536</c:v>
                </c:pt>
                <c:pt idx="63">
                  <c:v>-51.342220377816147</c:v>
                </c:pt>
                <c:pt idx="64">
                  <c:v>-38.23456443926154</c:v>
                </c:pt>
                <c:pt idx="65">
                  <c:v>-31.852023352558501</c:v>
                </c:pt>
                <c:pt idx="66">
                  <c:v>10.401159589116581</c:v>
                </c:pt>
                <c:pt idx="67">
                  <c:v>15.208620340251677</c:v>
                </c:pt>
                <c:pt idx="68">
                  <c:v>9.8064821230210431</c:v>
                </c:pt>
                <c:pt idx="69">
                  <c:v>18.538247884986792</c:v>
                </c:pt>
                <c:pt idx="70">
                  <c:v>4.6864928013749863</c:v>
                </c:pt>
                <c:pt idx="71">
                  <c:v>3.339901709842219</c:v>
                </c:pt>
                <c:pt idx="72">
                  <c:v>1.9886325529388404</c:v>
                </c:pt>
                <c:pt idx="73">
                  <c:v>-6.8386076693389803</c:v>
                </c:pt>
                <c:pt idx="74">
                  <c:v>-1.5898122775280576</c:v>
                </c:pt>
                <c:pt idx="75">
                  <c:v>0.39878373194648375</c:v>
                </c:pt>
                <c:pt idx="76">
                  <c:v>-3.8231135252193571</c:v>
                </c:pt>
                <c:pt idx="77">
                  <c:v>-6.0333707446337375</c:v>
                </c:pt>
                <c:pt idx="78">
                  <c:v>-11.696150806512984</c:v>
                </c:pt>
                <c:pt idx="79">
                  <c:v>-1.4031133412974461</c:v>
                </c:pt>
                <c:pt idx="80">
                  <c:v>-2.957652022718904</c:v>
                </c:pt>
                <c:pt idx="81">
                  <c:v>3.4070592941377598</c:v>
                </c:pt>
                <c:pt idx="82">
                  <c:v>30.912844425156027</c:v>
                </c:pt>
                <c:pt idx="83">
                  <c:v>25.314851159479048</c:v>
                </c:pt>
                <c:pt idx="84">
                  <c:v>30.565151515477741</c:v>
                </c:pt>
                <c:pt idx="85">
                  <c:v>34.565399309674348</c:v>
                </c:pt>
                <c:pt idx="86">
                  <c:v>2.8887636433815977</c:v>
                </c:pt>
                <c:pt idx="87">
                  <c:v>-6.6359458318867359</c:v>
                </c:pt>
                <c:pt idx="88">
                  <c:v>-16.04029596227663</c:v>
                </c:pt>
                <c:pt idx="89">
                  <c:v>-22.751061275607032</c:v>
                </c:pt>
                <c:pt idx="90">
                  <c:v>-22.918442811857386</c:v>
                </c:pt>
                <c:pt idx="91">
                  <c:v>-14.934751377600342</c:v>
                </c:pt>
                <c:pt idx="92">
                  <c:v>-1.8373130135211246</c:v>
                </c:pt>
                <c:pt idx="93">
                  <c:v>2.2204763007996675</c:v>
                </c:pt>
                <c:pt idx="94">
                  <c:v>18.425712220673908</c:v>
                </c:pt>
                <c:pt idx="95">
                  <c:v>21.687267615942641</c:v>
                </c:pt>
                <c:pt idx="96">
                  <c:v>21.834047134676247</c:v>
                </c:pt>
                <c:pt idx="97">
                  <c:v>24.67114105592858</c:v>
                </c:pt>
                <c:pt idx="98">
                  <c:v>48.117718686128306</c:v>
                </c:pt>
                <c:pt idx="99">
                  <c:v>39.935160211738349</c:v>
                </c:pt>
                <c:pt idx="100">
                  <c:v>43.534965382449386</c:v>
                </c:pt>
                <c:pt idx="101">
                  <c:v>23.508003316237236</c:v>
                </c:pt>
                <c:pt idx="102">
                  <c:v>22.194114327713056</c:v>
                </c:pt>
                <c:pt idx="103">
                  <c:v>43.938093346190499</c:v>
                </c:pt>
                <c:pt idx="104">
                  <c:v>55.167766548423835</c:v>
                </c:pt>
                <c:pt idx="105">
                  <c:v>114.05789015998957</c:v>
                </c:pt>
                <c:pt idx="106">
                  <c:v>43.455457831077382</c:v>
                </c:pt>
                <c:pt idx="107">
                  <c:v>22.633306383595531</c:v>
                </c:pt>
                <c:pt idx="108">
                  <c:v>-0.57397906600926696</c:v>
                </c:pt>
                <c:pt idx="109">
                  <c:v>-10.108996843388883</c:v>
                </c:pt>
                <c:pt idx="110">
                  <c:v>35.955764986901983</c:v>
                </c:pt>
                <c:pt idx="111">
                  <c:v>58.656874139091045</c:v>
                </c:pt>
                <c:pt idx="112">
                  <c:v>35.027057506654891</c:v>
                </c:pt>
                <c:pt idx="113">
                  <c:v>22.818817614063434</c:v>
                </c:pt>
                <c:pt idx="114">
                  <c:v>9.3330084467074581</c:v>
                </c:pt>
                <c:pt idx="115">
                  <c:v>-9.6577774431629173</c:v>
                </c:pt>
                <c:pt idx="116">
                  <c:v>4.1732158701195621</c:v>
                </c:pt>
                <c:pt idx="117">
                  <c:v>12.049953724411377</c:v>
                </c:pt>
                <c:pt idx="118">
                  <c:v>12.269726420615189</c:v>
                </c:pt>
                <c:pt idx="119">
                  <c:v>39.897737911625633</c:v>
                </c:pt>
                <c:pt idx="120">
                  <c:v>33.80589793219044</c:v>
                </c:pt>
                <c:pt idx="121">
                  <c:v>28.182791438599651</c:v>
                </c:pt>
                <c:pt idx="122">
                  <c:v>44.207924262684607</c:v>
                </c:pt>
                <c:pt idx="123">
                  <c:v>14.568920382610706</c:v>
                </c:pt>
                <c:pt idx="124">
                  <c:v>-16.008235920660319</c:v>
                </c:pt>
                <c:pt idx="125">
                  <c:v>-31.613030641099304</c:v>
                </c:pt>
                <c:pt idx="126">
                  <c:v>-47.188331460286626</c:v>
                </c:pt>
                <c:pt idx="127">
                  <c:v>-49.539010059600564</c:v>
                </c:pt>
                <c:pt idx="128">
                  <c:v>-20.668870309469899</c:v>
                </c:pt>
                <c:pt idx="129">
                  <c:v>-28.223063610787168</c:v>
                </c:pt>
                <c:pt idx="130">
                  <c:v>-20.98296279716978</c:v>
                </c:pt>
                <c:pt idx="131">
                  <c:v>-15.891564012822402</c:v>
                </c:pt>
                <c:pt idx="132">
                  <c:v>-22.142440292695365</c:v>
                </c:pt>
                <c:pt idx="133">
                  <c:v>-5.0221562219241793</c:v>
                </c:pt>
                <c:pt idx="134">
                  <c:v>-0.44080613101985522</c:v>
                </c:pt>
                <c:pt idx="135">
                  <c:v>7.4761762165602041</c:v>
                </c:pt>
                <c:pt idx="136">
                  <c:v>39.190422108016485</c:v>
                </c:pt>
                <c:pt idx="137">
                  <c:v>48.911427226733473</c:v>
                </c:pt>
                <c:pt idx="138">
                  <c:v>26.942808816037701</c:v>
                </c:pt>
                <c:pt idx="139">
                  <c:v>33.242705496700076</c:v>
                </c:pt>
                <c:pt idx="140">
                  <c:v>5.4091002557753676</c:v>
                </c:pt>
                <c:pt idx="141">
                  <c:v>2.1342508786022174</c:v>
                </c:pt>
                <c:pt idx="142">
                  <c:v>-11.803866621401538</c:v>
                </c:pt>
                <c:pt idx="143">
                  <c:v>-18.477120688766448</c:v>
                </c:pt>
                <c:pt idx="144">
                  <c:v>-2.9556984119925245</c:v>
                </c:pt>
                <c:pt idx="145">
                  <c:v>1.5106536727002018</c:v>
                </c:pt>
                <c:pt idx="146">
                  <c:v>26.13574512420762</c:v>
                </c:pt>
                <c:pt idx="147">
                  <c:v>23.465556640993903</c:v>
                </c:pt>
                <c:pt idx="148">
                  <c:v>14.655681292922718</c:v>
                </c:pt>
                <c:pt idx="149">
                  <c:v>42.427394705687441</c:v>
                </c:pt>
                <c:pt idx="150">
                  <c:v>20.494665681129788</c:v>
                </c:pt>
                <c:pt idx="151">
                  <c:v>11.575312128282267</c:v>
                </c:pt>
                <c:pt idx="152">
                  <c:v>-2.9647070346670246</c:v>
                </c:pt>
                <c:pt idx="153">
                  <c:v>-37.256849767992541</c:v>
                </c:pt>
                <c:pt idx="154">
                  <c:v>-34.164946573595422</c:v>
                </c:pt>
                <c:pt idx="155">
                  <c:v>-24.389605048463526</c:v>
                </c:pt>
                <c:pt idx="156">
                  <c:v>-22.000463927206347</c:v>
                </c:pt>
                <c:pt idx="157">
                  <c:v>-13.61019100528862</c:v>
                </c:pt>
                <c:pt idx="158">
                  <c:v>-7.3726205652872245</c:v>
                </c:pt>
                <c:pt idx="159">
                  <c:v>-19.07499307051107</c:v>
                </c:pt>
                <c:pt idx="160">
                  <c:v>-26.59677269899262</c:v>
                </c:pt>
                <c:pt idx="161">
                  <c:v>-15.092312837727363</c:v>
                </c:pt>
                <c:pt idx="162">
                  <c:v>-5.7169444889417438</c:v>
                </c:pt>
                <c:pt idx="163">
                  <c:v>-6.0318404956750893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9A-4A2B-9163-3AC2667ECD4F}"/>
            </c:ext>
          </c:extLst>
        </c:ser>
        <c:ser>
          <c:idx val="1"/>
          <c:order val="1"/>
          <c:tx>
            <c:v>low</c:v>
          </c:tx>
          <c:spPr>
            <a:ln w="317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Litecoin!$G$16:$G$272</c:f>
              <c:numCache>
                <c:formatCode>General</c:formatCode>
                <c:ptCount val="257"/>
                <c:pt idx="0">
                  <c:v>-11.6500096034351</c:v>
                </c:pt>
                <c:pt idx="1">
                  <c:v>-11.6500096034351</c:v>
                </c:pt>
                <c:pt idx="2">
                  <c:v>-11.6500096034351</c:v>
                </c:pt>
                <c:pt idx="3">
                  <c:v>-11.6500096034351</c:v>
                </c:pt>
                <c:pt idx="4">
                  <c:v>-11.6500096034351</c:v>
                </c:pt>
                <c:pt idx="5">
                  <c:v>-11.6500096034351</c:v>
                </c:pt>
                <c:pt idx="6">
                  <c:v>-11.6500096034351</c:v>
                </c:pt>
                <c:pt idx="7">
                  <c:v>-11.6500096034351</c:v>
                </c:pt>
                <c:pt idx="8">
                  <c:v>-11.6500096034351</c:v>
                </c:pt>
                <c:pt idx="9">
                  <c:v>-11.6500096034351</c:v>
                </c:pt>
                <c:pt idx="10">
                  <c:v>-11.6500096034351</c:v>
                </c:pt>
                <c:pt idx="11">
                  <c:v>-11.6500096034351</c:v>
                </c:pt>
                <c:pt idx="12">
                  <c:v>-11.6500096034351</c:v>
                </c:pt>
                <c:pt idx="13">
                  <c:v>-11.6500096034351</c:v>
                </c:pt>
                <c:pt idx="14">
                  <c:v>-11.6500096034351</c:v>
                </c:pt>
                <c:pt idx="15">
                  <c:v>-11.6500096034351</c:v>
                </c:pt>
                <c:pt idx="16">
                  <c:v>-11.6500096034351</c:v>
                </c:pt>
                <c:pt idx="17">
                  <c:v>-11.6500096034351</c:v>
                </c:pt>
                <c:pt idx="18">
                  <c:v>-11.6500096034351</c:v>
                </c:pt>
                <c:pt idx="19">
                  <c:v>-11.6500096034351</c:v>
                </c:pt>
                <c:pt idx="20">
                  <c:v>-11.6500096034351</c:v>
                </c:pt>
                <c:pt idx="21">
                  <c:v>-11.6500096034351</c:v>
                </c:pt>
                <c:pt idx="22">
                  <c:v>-11.6500096034351</c:v>
                </c:pt>
                <c:pt idx="23">
                  <c:v>-11.6500096034351</c:v>
                </c:pt>
                <c:pt idx="24">
                  <c:v>-11.6500096034351</c:v>
                </c:pt>
                <c:pt idx="25">
                  <c:v>-11.6500096034351</c:v>
                </c:pt>
                <c:pt idx="26">
                  <c:v>-11.6500096034351</c:v>
                </c:pt>
                <c:pt idx="27">
                  <c:v>-11.6500096034351</c:v>
                </c:pt>
                <c:pt idx="28">
                  <c:v>-11.6500096034351</c:v>
                </c:pt>
                <c:pt idx="29">
                  <c:v>-11.6500096034351</c:v>
                </c:pt>
                <c:pt idx="30">
                  <c:v>-11.6500096034351</c:v>
                </c:pt>
                <c:pt idx="31">
                  <c:v>-11.6500096034351</c:v>
                </c:pt>
                <c:pt idx="32">
                  <c:v>-11.6500096034351</c:v>
                </c:pt>
                <c:pt idx="33">
                  <c:v>-11.6500096034351</c:v>
                </c:pt>
                <c:pt idx="34">
                  <c:v>-11.6500096034351</c:v>
                </c:pt>
                <c:pt idx="35">
                  <c:v>-11.6500096034351</c:v>
                </c:pt>
                <c:pt idx="36">
                  <c:v>-11.6500096034351</c:v>
                </c:pt>
                <c:pt idx="37">
                  <c:v>-11.6500096034351</c:v>
                </c:pt>
                <c:pt idx="38">
                  <c:v>-11.6500096034351</c:v>
                </c:pt>
                <c:pt idx="39">
                  <c:v>-11.6500096034351</c:v>
                </c:pt>
                <c:pt idx="40">
                  <c:v>-11.6500096034351</c:v>
                </c:pt>
                <c:pt idx="41">
                  <c:v>-11.6500096034351</c:v>
                </c:pt>
                <c:pt idx="42">
                  <c:v>-11.6500096034351</c:v>
                </c:pt>
                <c:pt idx="43">
                  <c:v>-11.6500096034351</c:v>
                </c:pt>
                <c:pt idx="44">
                  <c:v>-11.6500096034351</c:v>
                </c:pt>
                <c:pt idx="45">
                  <c:v>-11.6500096034351</c:v>
                </c:pt>
                <c:pt idx="46">
                  <c:v>-11.6500096034351</c:v>
                </c:pt>
                <c:pt idx="47">
                  <c:v>-11.6500096034351</c:v>
                </c:pt>
                <c:pt idx="48">
                  <c:v>-11.6500096034351</c:v>
                </c:pt>
                <c:pt idx="49">
                  <c:v>-11.6500096034351</c:v>
                </c:pt>
                <c:pt idx="50">
                  <c:v>-11.6500096034351</c:v>
                </c:pt>
                <c:pt idx="51">
                  <c:v>-11.6500096034351</c:v>
                </c:pt>
                <c:pt idx="52">
                  <c:v>-11.6500096034351</c:v>
                </c:pt>
                <c:pt idx="53">
                  <c:v>-11.6500096034351</c:v>
                </c:pt>
                <c:pt idx="54">
                  <c:v>-11.6500096034351</c:v>
                </c:pt>
                <c:pt idx="55">
                  <c:v>-11.6500096034351</c:v>
                </c:pt>
                <c:pt idx="56">
                  <c:v>-11.6500096034351</c:v>
                </c:pt>
                <c:pt idx="57">
                  <c:v>-11.6500096034351</c:v>
                </c:pt>
                <c:pt idx="58">
                  <c:v>-11.6500096034351</c:v>
                </c:pt>
                <c:pt idx="59">
                  <c:v>-11.6500096034351</c:v>
                </c:pt>
                <c:pt idx="60">
                  <c:v>-11.6500096034351</c:v>
                </c:pt>
                <c:pt idx="61">
                  <c:v>-11.6500096034351</c:v>
                </c:pt>
                <c:pt idx="62">
                  <c:v>-11.6500096034351</c:v>
                </c:pt>
                <c:pt idx="63">
                  <c:v>-11.6500096034351</c:v>
                </c:pt>
                <c:pt idx="64">
                  <c:v>-11.6500096034351</c:v>
                </c:pt>
                <c:pt idx="65">
                  <c:v>-11.6500096034351</c:v>
                </c:pt>
                <c:pt idx="66">
                  <c:v>-11.6500096034351</c:v>
                </c:pt>
                <c:pt idx="67">
                  <c:v>-11.6500096034351</c:v>
                </c:pt>
                <c:pt idx="68">
                  <c:v>-11.6500096034351</c:v>
                </c:pt>
                <c:pt idx="69">
                  <c:v>-11.6500096034351</c:v>
                </c:pt>
                <c:pt idx="70">
                  <c:v>-11.6500096034351</c:v>
                </c:pt>
                <c:pt idx="71">
                  <c:v>-11.6500096034351</c:v>
                </c:pt>
                <c:pt idx="72">
                  <c:v>-11.6500096034351</c:v>
                </c:pt>
                <c:pt idx="73">
                  <c:v>-11.6500096034351</c:v>
                </c:pt>
                <c:pt idx="74">
                  <c:v>-11.6500096034351</c:v>
                </c:pt>
                <c:pt idx="75">
                  <c:v>-11.6500096034351</c:v>
                </c:pt>
                <c:pt idx="76">
                  <c:v>-11.6500096034351</c:v>
                </c:pt>
                <c:pt idx="77">
                  <c:v>-11.6500096034351</c:v>
                </c:pt>
                <c:pt idx="78">
                  <c:v>-11.6500096034351</c:v>
                </c:pt>
                <c:pt idx="79">
                  <c:v>-11.6500096034351</c:v>
                </c:pt>
                <c:pt idx="80">
                  <c:v>-11.6500096034351</c:v>
                </c:pt>
                <c:pt idx="81">
                  <c:v>-11.6500096034351</c:v>
                </c:pt>
                <c:pt idx="82">
                  <c:v>-11.6500096034351</c:v>
                </c:pt>
                <c:pt idx="83">
                  <c:v>-11.6500096034351</c:v>
                </c:pt>
                <c:pt idx="84">
                  <c:v>-11.6500096034351</c:v>
                </c:pt>
                <c:pt idx="85">
                  <c:v>-11.6500096034351</c:v>
                </c:pt>
                <c:pt idx="86">
                  <c:v>-11.6500096034351</c:v>
                </c:pt>
                <c:pt idx="87">
                  <c:v>-11.6500096034351</c:v>
                </c:pt>
                <c:pt idx="88">
                  <c:v>-11.6500096034351</c:v>
                </c:pt>
                <c:pt idx="89">
                  <c:v>-11.6500096034351</c:v>
                </c:pt>
                <c:pt idx="90">
                  <c:v>-11.6500096034351</c:v>
                </c:pt>
                <c:pt idx="91">
                  <c:v>-11.6500096034351</c:v>
                </c:pt>
                <c:pt idx="92">
                  <c:v>-11.6500096034351</c:v>
                </c:pt>
                <c:pt idx="93">
                  <c:v>-11.6500096034351</c:v>
                </c:pt>
                <c:pt idx="94">
                  <c:v>-11.6500096034351</c:v>
                </c:pt>
                <c:pt idx="95">
                  <c:v>-11.6500096034351</c:v>
                </c:pt>
                <c:pt idx="96">
                  <c:v>-11.6500096034351</c:v>
                </c:pt>
                <c:pt idx="97">
                  <c:v>-11.6500096034351</c:v>
                </c:pt>
                <c:pt idx="98">
                  <c:v>-11.6500096034351</c:v>
                </c:pt>
                <c:pt idx="99">
                  <c:v>-11.6500096034351</c:v>
                </c:pt>
                <c:pt idx="100">
                  <c:v>-11.6500096034351</c:v>
                </c:pt>
                <c:pt idx="101">
                  <c:v>-11.6500096034351</c:v>
                </c:pt>
                <c:pt idx="102">
                  <c:v>-11.6500096034351</c:v>
                </c:pt>
                <c:pt idx="103">
                  <c:v>-11.6500096034351</c:v>
                </c:pt>
                <c:pt idx="104">
                  <c:v>-11.6500096034351</c:v>
                </c:pt>
                <c:pt idx="105">
                  <c:v>-11.6500096034351</c:v>
                </c:pt>
                <c:pt idx="106">
                  <c:v>-11.6500096034351</c:v>
                </c:pt>
                <c:pt idx="107">
                  <c:v>-11.6500096034351</c:v>
                </c:pt>
                <c:pt idx="108">
                  <c:v>-11.6500096034351</c:v>
                </c:pt>
                <c:pt idx="109">
                  <c:v>-11.6500096034351</c:v>
                </c:pt>
                <c:pt idx="110">
                  <c:v>-11.6500096034351</c:v>
                </c:pt>
                <c:pt idx="111">
                  <c:v>-11.6500096034351</c:v>
                </c:pt>
                <c:pt idx="112">
                  <c:v>-11.6500096034351</c:v>
                </c:pt>
                <c:pt idx="113">
                  <c:v>-11.6500096034351</c:v>
                </c:pt>
                <c:pt idx="114">
                  <c:v>-11.6500096034351</c:v>
                </c:pt>
                <c:pt idx="115">
                  <c:v>-11.6500096034351</c:v>
                </c:pt>
                <c:pt idx="116">
                  <c:v>-11.6500096034351</c:v>
                </c:pt>
                <c:pt idx="117">
                  <c:v>-11.6500096034351</c:v>
                </c:pt>
                <c:pt idx="118">
                  <c:v>-11.6500096034351</c:v>
                </c:pt>
                <c:pt idx="119">
                  <c:v>-11.6500096034351</c:v>
                </c:pt>
                <c:pt idx="120">
                  <c:v>-11.6500096034351</c:v>
                </c:pt>
                <c:pt idx="121">
                  <c:v>-11.6500096034351</c:v>
                </c:pt>
                <c:pt idx="122">
                  <c:v>-11.6500096034351</c:v>
                </c:pt>
                <c:pt idx="123">
                  <c:v>-11.6500096034351</c:v>
                </c:pt>
                <c:pt idx="124">
                  <c:v>-11.6500096034351</c:v>
                </c:pt>
                <c:pt idx="125">
                  <c:v>-11.6500096034351</c:v>
                </c:pt>
                <c:pt idx="126">
                  <c:v>-11.6500096034351</c:v>
                </c:pt>
                <c:pt idx="127">
                  <c:v>-11.6500096034351</c:v>
                </c:pt>
                <c:pt idx="128">
                  <c:v>-11.6500096034351</c:v>
                </c:pt>
                <c:pt idx="129">
                  <c:v>-11.6500096034351</c:v>
                </c:pt>
                <c:pt idx="130">
                  <c:v>-11.6500096034351</c:v>
                </c:pt>
                <c:pt idx="131">
                  <c:v>-11.6500096034351</c:v>
                </c:pt>
                <c:pt idx="132">
                  <c:v>-11.6500096034351</c:v>
                </c:pt>
                <c:pt idx="133">
                  <c:v>-11.6500096034351</c:v>
                </c:pt>
                <c:pt idx="134">
                  <c:v>-11.6500096034351</c:v>
                </c:pt>
                <c:pt idx="135">
                  <c:v>-11.6500096034351</c:v>
                </c:pt>
                <c:pt idx="136">
                  <c:v>-11.6500096034351</c:v>
                </c:pt>
                <c:pt idx="137">
                  <c:v>-11.6500096034351</c:v>
                </c:pt>
                <c:pt idx="138">
                  <c:v>-11.6500096034351</c:v>
                </c:pt>
                <c:pt idx="139">
                  <c:v>-11.6500096034351</c:v>
                </c:pt>
                <c:pt idx="140">
                  <c:v>-11.6500096034351</c:v>
                </c:pt>
                <c:pt idx="141">
                  <c:v>-11.6500096034351</c:v>
                </c:pt>
                <c:pt idx="142">
                  <c:v>-11.6500096034351</c:v>
                </c:pt>
                <c:pt idx="143">
                  <c:v>-11.6500096034351</c:v>
                </c:pt>
                <c:pt idx="144">
                  <c:v>-11.6500096034351</c:v>
                </c:pt>
                <c:pt idx="145">
                  <c:v>-11.6500096034351</c:v>
                </c:pt>
                <c:pt idx="146">
                  <c:v>-11.6500096034351</c:v>
                </c:pt>
                <c:pt idx="147">
                  <c:v>-11.6500096034351</c:v>
                </c:pt>
                <c:pt idx="148">
                  <c:v>-11.6500096034351</c:v>
                </c:pt>
                <c:pt idx="149">
                  <c:v>-11.6500096034351</c:v>
                </c:pt>
                <c:pt idx="150">
                  <c:v>-11.6500096034351</c:v>
                </c:pt>
                <c:pt idx="151">
                  <c:v>-11.6500096034351</c:v>
                </c:pt>
                <c:pt idx="152">
                  <c:v>-11.6500096034351</c:v>
                </c:pt>
                <c:pt idx="153">
                  <c:v>-11.6500096034351</c:v>
                </c:pt>
                <c:pt idx="154">
                  <c:v>-11.6500096034351</c:v>
                </c:pt>
                <c:pt idx="155">
                  <c:v>-11.6500096034351</c:v>
                </c:pt>
                <c:pt idx="156">
                  <c:v>-11.6500096034351</c:v>
                </c:pt>
                <c:pt idx="157">
                  <c:v>-11.6500096034351</c:v>
                </c:pt>
                <c:pt idx="158">
                  <c:v>-11.6500096034351</c:v>
                </c:pt>
                <c:pt idx="159">
                  <c:v>-11.6500096034351</c:v>
                </c:pt>
                <c:pt idx="160">
                  <c:v>-11.6500096034351</c:v>
                </c:pt>
                <c:pt idx="161">
                  <c:v>-11.6500096034351</c:v>
                </c:pt>
                <c:pt idx="162">
                  <c:v>-11.6500096034351</c:v>
                </c:pt>
                <c:pt idx="163">
                  <c:v>-11.6500096034351</c:v>
                </c:pt>
                <c:pt idx="164">
                  <c:v>-11.6500096034351</c:v>
                </c:pt>
                <c:pt idx="165">
                  <c:v>-11.6500096034351</c:v>
                </c:pt>
                <c:pt idx="166">
                  <c:v>-11.6500096034351</c:v>
                </c:pt>
                <c:pt idx="167">
                  <c:v>-11.6500096034351</c:v>
                </c:pt>
                <c:pt idx="168">
                  <c:v>-11.6500096034351</c:v>
                </c:pt>
                <c:pt idx="169">
                  <c:v>-11.6500096034351</c:v>
                </c:pt>
                <c:pt idx="170">
                  <c:v>-11.6500096034351</c:v>
                </c:pt>
                <c:pt idx="171">
                  <c:v>-11.6500096034351</c:v>
                </c:pt>
                <c:pt idx="172">
                  <c:v>-11.6500096034351</c:v>
                </c:pt>
                <c:pt idx="173">
                  <c:v>-11.6500096034351</c:v>
                </c:pt>
                <c:pt idx="174">
                  <c:v>-11.6500096034351</c:v>
                </c:pt>
                <c:pt idx="175">
                  <c:v>-11.6500096034351</c:v>
                </c:pt>
                <c:pt idx="176">
                  <c:v>-11.6500096034351</c:v>
                </c:pt>
                <c:pt idx="177">
                  <c:v>-11.6500096034351</c:v>
                </c:pt>
                <c:pt idx="178">
                  <c:v>-11.6500096034351</c:v>
                </c:pt>
                <c:pt idx="179">
                  <c:v>-11.6500096034351</c:v>
                </c:pt>
                <c:pt idx="180">
                  <c:v>-11.6500096034351</c:v>
                </c:pt>
                <c:pt idx="181">
                  <c:v>-11.6500096034351</c:v>
                </c:pt>
                <c:pt idx="182">
                  <c:v>-11.6500096034351</c:v>
                </c:pt>
                <c:pt idx="183">
                  <c:v>-11.6500096034351</c:v>
                </c:pt>
                <c:pt idx="184">
                  <c:v>-11.6500096034351</c:v>
                </c:pt>
                <c:pt idx="185">
                  <c:v>-11.6500096034351</c:v>
                </c:pt>
                <c:pt idx="186">
                  <c:v>-11.6500096034351</c:v>
                </c:pt>
                <c:pt idx="187">
                  <c:v>-11.6500096034351</c:v>
                </c:pt>
                <c:pt idx="188">
                  <c:v>-11.6500096034351</c:v>
                </c:pt>
                <c:pt idx="189">
                  <c:v>-11.6500096034351</c:v>
                </c:pt>
                <c:pt idx="190">
                  <c:v>-11.6500096034351</c:v>
                </c:pt>
                <c:pt idx="191">
                  <c:v>-11.6500096034351</c:v>
                </c:pt>
                <c:pt idx="192">
                  <c:v>-11.6500096034351</c:v>
                </c:pt>
                <c:pt idx="193">
                  <c:v>-11.6500096034351</c:v>
                </c:pt>
                <c:pt idx="194">
                  <c:v>-11.6500096034351</c:v>
                </c:pt>
                <c:pt idx="195">
                  <c:v>-11.6500096034351</c:v>
                </c:pt>
                <c:pt idx="196">
                  <c:v>-11.6500096034351</c:v>
                </c:pt>
                <c:pt idx="197">
                  <c:v>-11.6500096034351</c:v>
                </c:pt>
                <c:pt idx="198">
                  <c:v>-11.6500096034351</c:v>
                </c:pt>
                <c:pt idx="199">
                  <c:v>-11.6500096034351</c:v>
                </c:pt>
                <c:pt idx="200">
                  <c:v>-11.6500096034351</c:v>
                </c:pt>
                <c:pt idx="201">
                  <c:v>-11.6500096034351</c:v>
                </c:pt>
                <c:pt idx="202">
                  <c:v>-11.6500096034351</c:v>
                </c:pt>
                <c:pt idx="203">
                  <c:v>-11.6500096034351</c:v>
                </c:pt>
                <c:pt idx="204">
                  <c:v>-11.6500096034351</c:v>
                </c:pt>
                <c:pt idx="205">
                  <c:v>-11.6500096034351</c:v>
                </c:pt>
                <c:pt idx="206">
                  <c:v>-11.6500096034351</c:v>
                </c:pt>
                <c:pt idx="207">
                  <c:v>-11.6500096034351</c:v>
                </c:pt>
                <c:pt idx="208">
                  <c:v>-11.6500096034351</c:v>
                </c:pt>
                <c:pt idx="209">
                  <c:v>-11.6500096034351</c:v>
                </c:pt>
                <c:pt idx="210">
                  <c:v>-11.6500096034351</c:v>
                </c:pt>
                <c:pt idx="211">
                  <c:v>-11.6500096034351</c:v>
                </c:pt>
                <c:pt idx="212">
                  <c:v>-11.6500096034351</c:v>
                </c:pt>
                <c:pt idx="213">
                  <c:v>-11.6500096034351</c:v>
                </c:pt>
                <c:pt idx="214">
                  <c:v>-11.6500096034351</c:v>
                </c:pt>
                <c:pt idx="215">
                  <c:v>-11.6500096034351</c:v>
                </c:pt>
                <c:pt idx="216">
                  <c:v>-11.6500096034351</c:v>
                </c:pt>
                <c:pt idx="217">
                  <c:v>-11.6500096034351</c:v>
                </c:pt>
                <c:pt idx="218">
                  <c:v>-11.6500096034351</c:v>
                </c:pt>
                <c:pt idx="219">
                  <c:v>-11.6500096034351</c:v>
                </c:pt>
                <c:pt idx="220">
                  <c:v>-11.6500096034351</c:v>
                </c:pt>
                <c:pt idx="221">
                  <c:v>-11.6500096034351</c:v>
                </c:pt>
                <c:pt idx="222">
                  <c:v>-11.6500096034351</c:v>
                </c:pt>
                <c:pt idx="223">
                  <c:v>-11.6500096034351</c:v>
                </c:pt>
                <c:pt idx="224">
                  <c:v>-11.6500096034351</c:v>
                </c:pt>
                <c:pt idx="225">
                  <c:v>-11.6500096034351</c:v>
                </c:pt>
                <c:pt idx="226">
                  <c:v>-11.6500096034351</c:v>
                </c:pt>
                <c:pt idx="227">
                  <c:v>-11.6500096034351</c:v>
                </c:pt>
                <c:pt idx="228">
                  <c:v>-11.6500096034351</c:v>
                </c:pt>
                <c:pt idx="229">
                  <c:v>-11.6500096034351</c:v>
                </c:pt>
                <c:pt idx="230">
                  <c:v>-11.6500096034351</c:v>
                </c:pt>
                <c:pt idx="231">
                  <c:v>-11.6500096034351</c:v>
                </c:pt>
                <c:pt idx="232">
                  <c:v>-11.6500096034351</c:v>
                </c:pt>
                <c:pt idx="233">
                  <c:v>-11.6500096034351</c:v>
                </c:pt>
                <c:pt idx="234">
                  <c:v>-11.6500096034351</c:v>
                </c:pt>
                <c:pt idx="235">
                  <c:v>-11.6500096034351</c:v>
                </c:pt>
                <c:pt idx="236">
                  <c:v>-11.6500096034351</c:v>
                </c:pt>
                <c:pt idx="237">
                  <c:v>-11.6500096034351</c:v>
                </c:pt>
                <c:pt idx="238">
                  <c:v>-11.6500096034351</c:v>
                </c:pt>
                <c:pt idx="239">
                  <c:v>-11.6500096034351</c:v>
                </c:pt>
                <c:pt idx="240">
                  <c:v>-11.6500096034351</c:v>
                </c:pt>
                <c:pt idx="241">
                  <c:v>-11.6500096034351</c:v>
                </c:pt>
                <c:pt idx="242">
                  <c:v>-11.6500096034351</c:v>
                </c:pt>
                <c:pt idx="243">
                  <c:v>-11.6500096034351</c:v>
                </c:pt>
                <c:pt idx="244">
                  <c:v>-11.6500096034351</c:v>
                </c:pt>
                <c:pt idx="245">
                  <c:v>-11.6500096034351</c:v>
                </c:pt>
                <c:pt idx="246">
                  <c:v>-11.6500096034351</c:v>
                </c:pt>
                <c:pt idx="247">
                  <c:v>-11.6500096034351</c:v>
                </c:pt>
                <c:pt idx="248">
                  <c:v>-11.6500096034351</c:v>
                </c:pt>
                <c:pt idx="249">
                  <c:v>-11.6500096034351</c:v>
                </c:pt>
                <c:pt idx="250">
                  <c:v>-11.6500096034351</c:v>
                </c:pt>
                <c:pt idx="251">
                  <c:v>-11.6500096034351</c:v>
                </c:pt>
                <c:pt idx="252">
                  <c:v>-11.6500096034351</c:v>
                </c:pt>
                <c:pt idx="253">
                  <c:v>-11.6500096034351</c:v>
                </c:pt>
                <c:pt idx="254">
                  <c:v>-11.6500096034351</c:v>
                </c:pt>
                <c:pt idx="255">
                  <c:v>-11.6500096034351</c:v>
                </c:pt>
                <c:pt idx="256">
                  <c:v>-11.6500096034351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9A-4A2B-9163-3AC2667ECD4F}"/>
            </c:ext>
          </c:extLst>
        </c:ser>
        <c:ser>
          <c:idx val="2"/>
          <c:order val="2"/>
          <c:tx>
            <c:v>high</c:v>
          </c:tx>
          <c:spPr>
            <a:ln w="317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Litecoin!$H$16:$H$272</c:f>
              <c:numCache>
                <c:formatCode>General</c:formatCode>
                <c:ptCount val="257"/>
                <c:pt idx="0">
                  <c:v>36.38399878177637</c:v>
                </c:pt>
                <c:pt idx="1">
                  <c:v>36.38399878177637</c:v>
                </c:pt>
                <c:pt idx="2">
                  <c:v>36.38399878177637</c:v>
                </c:pt>
                <c:pt idx="3">
                  <c:v>36.38399878177637</c:v>
                </c:pt>
                <c:pt idx="4">
                  <c:v>36.38399878177637</c:v>
                </c:pt>
                <c:pt idx="5">
                  <c:v>36.38399878177637</c:v>
                </c:pt>
                <c:pt idx="6">
                  <c:v>36.38399878177637</c:v>
                </c:pt>
                <c:pt idx="7">
                  <c:v>36.38399878177637</c:v>
                </c:pt>
                <c:pt idx="8">
                  <c:v>36.38399878177637</c:v>
                </c:pt>
                <c:pt idx="9">
                  <c:v>36.38399878177637</c:v>
                </c:pt>
                <c:pt idx="10">
                  <c:v>36.38399878177637</c:v>
                </c:pt>
                <c:pt idx="11">
                  <c:v>36.38399878177637</c:v>
                </c:pt>
                <c:pt idx="12">
                  <c:v>36.38399878177637</c:v>
                </c:pt>
                <c:pt idx="13">
                  <c:v>36.38399878177637</c:v>
                </c:pt>
                <c:pt idx="14">
                  <c:v>36.38399878177637</c:v>
                </c:pt>
                <c:pt idx="15">
                  <c:v>36.38399878177637</c:v>
                </c:pt>
                <c:pt idx="16">
                  <c:v>36.38399878177637</c:v>
                </c:pt>
                <c:pt idx="17">
                  <c:v>36.38399878177637</c:v>
                </c:pt>
                <c:pt idx="18">
                  <c:v>36.38399878177637</c:v>
                </c:pt>
                <c:pt idx="19">
                  <c:v>36.38399878177637</c:v>
                </c:pt>
                <c:pt idx="20">
                  <c:v>36.38399878177637</c:v>
                </c:pt>
                <c:pt idx="21">
                  <c:v>36.38399878177637</c:v>
                </c:pt>
                <c:pt idx="22">
                  <c:v>36.38399878177637</c:v>
                </c:pt>
                <c:pt idx="23">
                  <c:v>36.38399878177637</c:v>
                </c:pt>
                <c:pt idx="24">
                  <c:v>36.38399878177637</c:v>
                </c:pt>
                <c:pt idx="25">
                  <c:v>36.38399878177637</c:v>
                </c:pt>
                <c:pt idx="26">
                  <c:v>36.38399878177637</c:v>
                </c:pt>
                <c:pt idx="27">
                  <c:v>36.38399878177637</c:v>
                </c:pt>
                <c:pt idx="28">
                  <c:v>36.38399878177637</c:v>
                </c:pt>
                <c:pt idx="29">
                  <c:v>36.38399878177637</c:v>
                </c:pt>
                <c:pt idx="30">
                  <c:v>36.38399878177637</c:v>
                </c:pt>
                <c:pt idx="31">
                  <c:v>36.38399878177637</c:v>
                </c:pt>
                <c:pt idx="32">
                  <c:v>36.38399878177637</c:v>
                </c:pt>
                <c:pt idx="33">
                  <c:v>36.38399878177637</c:v>
                </c:pt>
                <c:pt idx="34">
                  <c:v>36.38399878177637</c:v>
                </c:pt>
                <c:pt idx="35">
                  <c:v>36.38399878177637</c:v>
                </c:pt>
                <c:pt idx="36">
                  <c:v>36.38399878177637</c:v>
                </c:pt>
                <c:pt idx="37">
                  <c:v>36.38399878177637</c:v>
                </c:pt>
                <c:pt idx="38">
                  <c:v>36.38399878177637</c:v>
                </c:pt>
                <c:pt idx="39">
                  <c:v>36.38399878177637</c:v>
                </c:pt>
                <c:pt idx="40">
                  <c:v>36.38399878177637</c:v>
                </c:pt>
                <c:pt idx="41">
                  <c:v>36.38399878177637</c:v>
                </c:pt>
                <c:pt idx="42">
                  <c:v>36.38399878177637</c:v>
                </c:pt>
                <c:pt idx="43">
                  <c:v>36.38399878177637</c:v>
                </c:pt>
                <c:pt idx="44">
                  <c:v>36.38399878177637</c:v>
                </c:pt>
                <c:pt idx="45">
                  <c:v>36.38399878177637</c:v>
                </c:pt>
                <c:pt idx="46">
                  <c:v>36.38399878177637</c:v>
                </c:pt>
                <c:pt idx="47">
                  <c:v>36.38399878177637</c:v>
                </c:pt>
                <c:pt idx="48">
                  <c:v>36.38399878177637</c:v>
                </c:pt>
                <c:pt idx="49">
                  <c:v>36.38399878177637</c:v>
                </c:pt>
                <c:pt idx="50">
                  <c:v>36.38399878177637</c:v>
                </c:pt>
                <c:pt idx="51">
                  <c:v>36.38399878177637</c:v>
                </c:pt>
                <c:pt idx="52">
                  <c:v>36.38399878177637</c:v>
                </c:pt>
                <c:pt idx="53">
                  <c:v>36.38399878177637</c:v>
                </c:pt>
                <c:pt idx="54">
                  <c:v>36.38399878177637</c:v>
                </c:pt>
                <c:pt idx="55">
                  <c:v>36.38399878177637</c:v>
                </c:pt>
                <c:pt idx="56">
                  <c:v>36.38399878177637</c:v>
                </c:pt>
                <c:pt idx="57">
                  <c:v>36.38399878177637</c:v>
                </c:pt>
                <c:pt idx="58">
                  <c:v>36.38399878177637</c:v>
                </c:pt>
                <c:pt idx="59">
                  <c:v>36.38399878177637</c:v>
                </c:pt>
                <c:pt idx="60">
                  <c:v>36.38399878177637</c:v>
                </c:pt>
                <c:pt idx="61">
                  <c:v>36.38399878177637</c:v>
                </c:pt>
                <c:pt idx="62">
                  <c:v>36.38399878177637</c:v>
                </c:pt>
                <c:pt idx="63">
                  <c:v>36.38399878177637</c:v>
                </c:pt>
                <c:pt idx="64">
                  <c:v>36.38399878177637</c:v>
                </c:pt>
                <c:pt idx="65">
                  <c:v>36.38399878177637</c:v>
                </c:pt>
                <c:pt idx="66">
                  <c:v>36.38399878177637</c:v>
                </c:pt>
                <c:pt idx="67">
                  <c:v>36.38399878177637</c:v>
                </c:pt>
                <c:pt idx="68">
                  <c:v>36.38399878177637</c:v>
                </c:pt>
                <c:pt idx="69">
                  <c:v>36.38399878177637</c:v>
                </c:pt>
                <c:pt idx="70">
                  <c:v>36.38399878177637</c:v>
                </c:pt>
                <c:pt idx="71">
                  <c:v>36.38399878177637</c:v>
                </c:pt>
                <c:pt idx="72">
                  <c:v>36.38399878177637</c:v>
                </c:pt>
                <c:pt idx="73">
                  <c:v>36.38399878177637</c:v>
                </c:pt>
                <c:pt idx="74">
                  <c:v>36.38399878177637</c:v>
                </c:pt>
                <c:pt idx="75">
                  <c:v>36.38399878177637</c:v>
                </c:pt>
                <c:pt idx="76">
                  <c:v>36.38399878177637</c:v>
                </c:pt>
                <c:pt idx="77">
                  <c:v>36.38399878177637</c:v>
                </c:pt>
                <c:pt idx="78">
                  <c:v>36.38399878177637</c:v>
                </c:pt>
                <c:pt idx="79">
                  <c:v>36.38399878177637</c:v>
                </c:pt>
                <c:pt idx="80">
                  <c:v>36.38399878177637</c:v>
                </c:pt>
                <c:pt idx="81">
                  <c:v>36.38399878177637</c:v>
                </c:pt>
                <c:pt idx="82">
                  <c:v>36.38399878177637</c:v>
                </c:pt>
                <c:pt idx="83">
                  <c:v>36.38399878177637</c:v>
                </c:pt>
                <c:pt idx="84">
                  <c:v>36.38399878177637</c:v>
                </c:pt>
                <c:pt idx="85">
                  <c:v>36.38399878177637</c:v>
                </c:pt>
                <c:pt idx="86">
                  <c:v>36.38399878177637</c:v>
                </c:pt>
                <c:pt idx="87">
                  <c:v>36.38399878177637</c:v>
                </c:pt>
                <c:pt idx="88">
                  <c:v>36.38399878177637</c:v>
                </c:pt>
                <c:pt idx="89">
                  <c:v>36.38399878177637</c:v>
                </c:pt>
                <c:pt idx="90">
                  <c:v>36.38399878177637</c:v>
                </c:pt>
                <c:pt idx="91">
                  <c:v>36.38399878177637</c:v>
                </c:pt>
                <c:pt idx="92">
                  <c:v>36.38399878177637</c:v>
                </c:pt>
                <c:pt idx="93">
                  <c:v>36.38399878177637</c:v>
                </c:pt>
                <c:pt idx="94">
                  <c:v>36.38399878177637</c:v>
                </c:pt>
                <c:pt idx="95">
                  <c:v>36.38399878177637</c:v>
                </c:pt>
                <c:pt idx="96">
                  <c:v>36.38399878177637</c:v>
                </c:pt>
                <c:pt idx="97">
                  <c:v>36.38399878177637</c:v>
                </c:pt>
                <c:pt idx="98">
                  <c:v>36.38399878177637</c:v>
                </c:pt>
                <c:pt idx="99">
                  <c:v>36.38399878177637</c:v>
                </c:pt>
                <c:pt idx="100">
                  <c:v>36.38399878177637</c:v>
                </c:pt>
                <c:pt idx="101">
                  <c:v>36.38399878177637</c:v>
                </c:pt>
                <c:pt idx="102">
                  <c:v>36.38399878177637</c:v>
                </c:pt>
                <c:pt idx="103">
                  <c:v>36.38399878177637</c:v>
                </c:pt>
                <c:pt idx="104">
                  <c:v>36.38399878177637</c:v>
                </c:pt>
                <c:pt idx="105">
                  <c:v>36.38399878177637</c:v>
                </c:pt>
                <c:pt idx="106">
                  <c:v>36.38399878177637</c:v>
                </c:pt>
                <c:pt idx="107">
                  <c:v>36.38399878177637</c:v>
                </c:pt>
                <c:pt idx="108">
                  <c:v>36.38399878177637</c:v>
                </c:pt>
                <c:pt idx="109">
                  <c:v>36.38399878177637</c:v>
                </c:pt>
                <c:pt idx="110">
                  <c:v>36.38399878177637</c:v>
                </c:pt>
                <c:pt idx="111">
                  <c:v>36.38399878177637</c:v>
                </c:pt>
                <c:pt idx="112">
                  <c:v>36.38399878177637</c:v>
                </c:pt>
                <c:pt idx="113">
                  <c:v>36.38399878177637</c:v>
                </c:pt>
                <c:pt idx="114">
                  <c:v>36.38399878177637</c:v>
                </c:pt>
                <c:pt idx="115">
                  <c:v>36.38399878177637</c:v>
                </c:pt>
                <c:pt idx="116">
                  <c:v>36.38399878177637</c:v>
                </c:pt>
                <c:pt idx="117">
                  <c:v>36.38399878177637</c:v>
                </c:pt>
                <c:pt idx="118">
                  <c:v>36.38399878177637</c:v>
                </c:pt>
                <c:pt idx="119">
                  <c:v>36.38399878177637</c:v>
                </c:pt>
                <c:pt idx="120">
                  <c:v>36.38399878177637</c:v>
                </c:pt>
                <c:pt idx="121">
                  <c:v>36.38399878177637</c:v>
                </c:pt>
                <c:pt idx="122">
                  <c:v>36.38399878177637</c:v>
                </c:pt>
                <c:pt idx="123">
                  <c:v>36.38399878177637</c:v>
                </c:pt>
                <c:pt idx="124">
                  <c:v>36.38399878177637</c:v>
                </c:pt>
                <c:pt idx="125">
                  <c:v>36.38399878177637</c:v>
                </c:pt>
                <c:pt idx="126">
                  <c:v>36.38399878177637</c:v>
                </c:pt>
                <c:pt idx="127">
                  <c:v>36.38399878177637</c:v>
                </c:pt>
                <c:pt idx="128">
                  <c:v>36.38399878177637</c:v>
                </c:pt>
                <c:pt idx="129">
                  <c:v>36.38399878177637</c:v>
                </c:pt>
                <c:pt idx="130">
                  <c:v>36.38399878177637</c:v>
                </c:pt>
                <c:pt idx="131">
                  <c:v>36.38399878177637</c:v>
                </c:pt>
                <c:pt idx="132">
                  <c:v>36.38399878177637</c:v>
                </c:pt>
                <c:pt idx="133">
                  <c:v>36.38399878177637</c:v>
                </c:pt>
                <c:pt idx="134">
                  <c:v>36.38399878177637</c:v>
                </c:pt>
                <c:pt idx="135">
                  <c:v>36.38399878177637</c:v>
                </c:pt>
                <c:pt idx="136">
                  <c:v>36.38399878177637</c:v>
                </c:pt>
                <c:pt idx="137">
                  <c:v>36.38399878177637</c:v>
                </c:pt>
                <c:pt idx="138">
                  <c:v>36.38399878177637</c:v>
                </c:pt>
                <c:pt idx="139">
                  <c:v>36.38399878177637</c:v>
                </c:pt>
                <c:pt idx="140">
                  <c:v>36.38399878177637</c:v>
                </c:pt>
                <c:pt idx="141">
                  <c:v>36.38399878177637</c:v>
                </c:pt>
                <c:pt idx="142">
                  <c:v>36.38399878177637</c:v>
                </c:pt>
                <c:pt idx="143">
                  <c:v>36.38399878177637</c:v>
                </c:pt>
                <c:pt idx="144">
                  <c:v>36.38399878177637</c:v>
                </c:pt>
                <c:pt idx="145">
                  <c:v>36.38399878177637</c:v>
                </c:pt>
                <c:pt idx="146">
                  <c:v>36.38399878177637</c:v>
                </c:pt>
                <c:pt idx="147">
                  <c:v>36.38399878177637</c:v>
                </c:pt>
                <c:pt idx="148">
                  <c:v>36.38399878177637</c:v>
                </c:pt>
                <c:pt idx="149">
                  <c:v>36.38399878177637</c:v>
                </c:pt>
                <c:pt idx="150">
                  <c:v>36.38399878177637</c:v>
                </c:pt>
                <c:pt idx="151">
                  <c:v>36.38399878177637</c:v>
                </c:pt>
                <c:pt idx="152">
                  <c:v>36.38399878177637</c:v>
                </c:pt>
                <c:pt idx="153">
                  <c:v>36.38399878177637</c:v>
                </c:pt>
                <c:pt idx="154">
                  <c:v>36.38399878177637</c:v>
                </c:pt>
                <c:pt idx="155">
                  <c:v>36.38399878177637</c:v>
                </c:pt>
                <c:pt idx="156">
                  <c:v>36.38399878177637</c:v>
                </c:pt>
                <c:pt idx="157">
                  <c:v>36.38399878177637</c:v>
                </c:pt>
                <c:pt idx="158">
                  <c:v>36.38399878177637</c:v>
                </c:pt>
                <c:pt idx="159">
                  <c:v>36.38399878177637</c:v>
                </c:pt>
                <c:pt idx="160">
                  <c:v>36.38399878177637</c:v>
                </c:pt>
                <c:pt idx="161">
                  <c:v>36.38399878177637</c:v>
                </c:pt>
                <c:pt idx="162">
                  <c:v>36.38399878177637</c:v>
                </c:pt>
                <c:pt idx="163">
                  <c:v>36.38399878177637</c:v>
                </c:pt>
                <c:pt idx="164">
                  <c:v>36.38399878177637</c:v>
                </c:pt>
                <c:pt idx="165">
                  <c:v>36.38399878177637</c:v>
                </c:pt>
                <c:pt idx="166">
                  <c:v>36.38399878177637</c:v>
                </c:pt>
                <c:pt idx="167">
                  <c:v>36.38399878177637</c:v>
                </c:pt>
                <c:pt idx="168">
                  <c:v>36.38399878177637</c:v>
                </c:pt>
                <c:pt idx="169">
                  <c:v>36.38399878177637</c:v>
                </c:pt>
                <c:pt idx="170">
                  <c:v>36.38399878177637</c:v>
                </c:pt>
                <c:pt idx="171">
                  <c:v>36.38399878177637</c:v>
                </c:pt>
                <c:pt idx="172">
                  <c:v>36.38399878177637</c:v>
                </c:pt>
                <c:pt idx="173">
                  <c:v>36.38399878177637</c:v>
                </c:pt>
                <c:pt idx="174">
                  <c:v>36.38399878177637</c:v>
                </c:pt>
                <c:pt idx="175">
                  <c:v>36.38399878177637</c:v>
                </c:pt>
                <c:pt idx="176">
                  <c:v>36.38399878177637</c:v>
                </c:pt>
                <c:pt idx="177">
                  <c:v>36.38399878177637</c:v>
                </c:pt>
                <c:pt idx="178">
                  <c:v>36.38399878177637</c:v>
                </c:pt>
                <c:pt idx="179">
                  <c:v>36.38399878177637</c:v>
                </c:pt>
                <c:pt idx="180">
                  <c:v>36.38399878177637</c:v>
                </c:pt>
                <c:pt idx="181">
                  <c:v>36.38399878177637</c:v>
                </c:pt>
                <c:pt idx="182">
                  <c:v>36.38399878177637</c:v>
                </c:pt>
                <c:pt idx="183">
                  <c:v>36.38399878177637</c:v>
                </c:pt>
                <c:pt idx="184">
                  <c:v>36.38399878177637</c:v>
                </c:pt>
                <c:pt idx="185">
                  <c:v>36.38399878177637</c:v>
                </c:pt>
                <c:pt idx="186">
                  <c:v>36.38399878177637</c:v>
                </c:pt>
                <c:pt idx="187">
                  <c:v>36.38399878177637</c:v>
                </c:pt>
                <c:pt idx="188">
                  <c:v>36.38399878177637</c:v>
                </c:pt>
                <c:pt idx="189">
                  <c:v>36.38399878177637</c:v>
                </c:pt>
                <c:pt idx="190">
                  <c:v>36.38399878177637</c:v>
                </c:pt>
                <c:pt idx="191">
                  <c:v>36.38399878177637</c:v>
                </c:pt>
                <c:pt idx="192">
                  <c:v>36.38399878177637</c:v>
                </c:pt>
                <c:pt idx="193">
                  <c:v>36.38399878177637</c:v>
                </c:pt>
                <c:pt idx="194">
                  <c:v>36.38399878177637</c:v>
                </c:pt>
                <c:pt idx="195">
                  <c:v>36.38399878177637</c:v>
                </c:pt>
                <c:pt idx="196">
                  <c:v>36.38399878177637</c:v>
                </c:pt>
                <c:pt idx="197">
                  <c:v>36.38399878177637</c:v>
                </c:pt>
                <c:pt idx="198">
                  <c:v>36.38399878177637</c:v>
                </c:pt>
                <c:pt idx="199">
                  <c:v>36.38399878177637</c:v>
                </c:pt>
                <c:pt idx="200">
                  <c:v>36.38399878177637</c:v>
                </c:pt>
                <c:pt idx="201">
                  <c:v>36.38399878177637</c:v>
                </c:pt>
                <c:pt idx="202">
                  <c:v>36.38399878177637</c:v>
                </c:pt>
                <c:pt idx="203">
                  <c:v>36.38399878177637</c:v>
                </c:pt>
                <c:pt idx="204">
                  <c:v>36.38399878177637</c:v>
                </c:pt>
                <c:pt idx="205">
                  <c:v>36.38399878177637</c:v>
                </c:pt>
                <c:pt idx="206">
                  <c:v>36.38399878177637</c:v>
                </c:pt>
                <c:pt idx="207">
                  <c:v>36.38399878177637</c:v>
                </c:pt>
                <c:pt idx="208">
                  <c:v>36.38399878177637</c:v>
                </c:pt>
                <c:pt idx="209">
                  <c:v>36.38399878177637</c:v>
                </c:pt>
                <c:pt idx="210">
                  <c:v>36.38399878177637</c:v>
                </c:pt>
                <c:pt idx="211">
                  <c:v>36.38399878177637</c:v>
                </c:pt>
                <c:pt idx="212">
                  <c:v>36.38399878177637</c:v>
                </c:pt>
                <c:pt idx="213">
                  <c:v>36.38399878177637</c:v>
                </c:pt>
                <c:pt idx="214">
                  <c:v>36.38399878177637</c:v>
                </c:pt>
                <c:pt idx="215">
                  <c:v>36.38399878177637</c:v>
                </c:pt>
                <c:pt idx="216">
                  <c:v>36.38399878177637</c:v>
                </c:pt>
                <c:pt idx="217">
                  <c:v>36.38399878177637</c:v>
                </c:pt>
                <c:pt idx="218">
                  <c:v>36.38399878177637</c:v>
                </c:pt>
                <c:pt idx="219">
                  <c:v>36.38399878177637</c:v>
                </c:pt>
                <c:pt idx="220">
                  <c:v>36.38399878177637</c:v>
                </c:pt>
                <c:pt idx="221">
                  <c:v>36.38399878177637</c:v>
                </c:pt>
                <c:pt idx="222">
                  <c:v>36.38399878177637</c:v>
                </c:pt>
                <c:pt idx="223">
                  <c:v>36.38399878177637</c:v>
                </c:pt>
                <c:pt idx="224">
                  <c:v>36.38399878177637</c:v>
                </c:pt>
                <c:pt idx="225">
                  <c:v>36.38399878177637</c:v>
                </c:pt>
                <c:pt idx="226">
                  <c:v>36.38399878177637</c:v>
                </c:pt>
                <c:pt idx="227">
                  <c:v>36.38399878177637</c:v>
                </c:pt>
                <c:pt idx="228">
                  <c:v>36.38399878177637</c:v>
                </c:pt>
                <c:pt idx="229">
                  <c:v>36.38399878177637</c:v>
                </c:pt>
                <c:pt idx="230">
                  <c:v>36.38399878177637</c:v>
                </c:pt>
                <c:pt idx="231">
                  <c:v>36.38399878177637</c:v>
                </c:pt>
                <c:pt idx="232">
                  <c:v>36.38399878177637</c:v>
                </c:pt>
                <c:pt idx="233">
                  <c:v>36.38399878177637</c:v>
                </c:pt>
                <c:pt idx="234">
                  <c:v>36.38399878177637</c:v>
                </c:pt>
                <c:pt idx="235">
                  <c:v>36.38399878177637</c:v>
                </c:pt>
                <c:pt idx="236">
                  <c:v>36.38399878177637</c:v>
                </c:pt>
                <c:pt idx="237">
                  <c:v>36.38399878177637</c:v>
                </c:pt>
                <c:pt idx="238">
                  <c:v>36.38399878177637</c:v>
                </c:pt>
                <c:pt idx="239">
                  <c:v>36.38399878177637</c:v>
                </c:pt>
                <c:pt idx="240">
                  <c:v>36.38399878177637</c:v>
                </c:pt>
                <c:pt idx="241">
                  <c:v>36.38399878177637</c:v>
                </c:pt>
                <c:pt idx="242">
                  <c:v>36.38399878177637</c:v>
                </c:pt>
                <c:pt idx="243">
                  <c:v>36.38399878177637</c:v>
                </c:pt>
                <c:pt idx="244">
                  <c:v>36.38399878177637</c:v>
                </c:pt>
                <c:pt idx="245">
                  <c:v>36.38399878177637</c:v>
                </c:pt>
                <c:pt idx="246">
                  <c:v>36.38399878177637</c:v>
                </c:pt>
                <c:pt idx="247">
                  <c:v>36.38399878177637</c:v>
                </c:pt>
                <c:pt idx="248">
                  <c:v>36.38399878177637</c:v>
                </c:pt>
                <c:pt idx="249">
                  <c:v>36.38399878177637</c:v>
                </c:pt>
                <c:pt idx="250">
                  <c:v>36.38399878177637</c:v>
                </c:pt>
                <c:pt idx="251">
                  <c:v>36.38399878177637</c:v>
                </c:pt>
                <c:pt idx="252">
                  <c:v>36.38399878177637</c:v>
                </c:pt>
                <c:pt idx="253">
                  <c:v>36.38399878177637</c:v>
                </c:pt>
                <c:pt idx="254">
                  <c:v>36.38399878177637</c:v>
                </c:pt>
                <c:pt idx="255">
                  <c:v>36.38399878177637</c:v>
                </c:pt>
                <c:pt idx="256">
                  <c:v>36.38399878177637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9A-4A2B-9163-3AC2667EC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419320"/>
        <c:axId val="512420280"/>
      </c:lineChart>
      <c:dateAx>
        <c:axId val="512419320"/>
        <c:scaling>
          <c:orientation val="minMax"/>
        </c:scaling>
        <c:delete val="0"/>
        <c:axPos val="b"/>
        <c:numFmt formatCode="[$-407]mmmm\ yy;@" sourceLinked="1"/>
        <c:majorTickMark val="in"/>
        <c:minorTickMark val="none"/>
        <c:tickLblPos val="low"/>
        <c:spPr>
          <a:noFill/>
          <a:ln w="25400" cap="sq" cmpd="thickThin" algn="ctr">
            <a:solidFill>
              <a:schemeClr val="bg1">
                <a:lumMod val="50000"/>
              </a:schemeClr>
            </a:solidFill>
            <a:round/>
            <a:tailEnd w="sm" len="med"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20280"/>
        <c:crosses val="autoZero"/>
        <c:auto val="0"/>
        <c:lblOffset val="100"/>
        <c:baseTimeUnit val="days"/>
        <c:majorUnit val="9"/>
        <c:majorTimeUnit val="months"/>
      </c:dateAx>
      <c:valAx>
        <c:axId val="512420280"/>
        <c:scaling>
          <c:orientation val="minMax"/>
          <c:max val="120"/>
          <c:min val="-6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19320"/>
        <c:crossesAt val="43471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7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5" Type="http://schemas.openxmlformats.org/officeDocument/2006/relationships/image" Target="../media/image2.emf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9523</xdr:colOff>
      <xdr:row>0</xdr:row>
      <xdr:rowOff>0</xdr:rowOff>
    </xdr:from>
    <xdr:to>
      <xdr:col>8</xdr:col>
      <xdr:colOff>1386416</xdr:colOff>
      <xdr:row>26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795912D-D0C4-42A8-9263-B7902B69B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36</xdr:row>
      <xdr:rowOff>21165</xdr:rowOff>
    </xdr:from>
    <xdr:to>
      <xdr:col>9</xdr:col>
      <xdr:colOff>2</xdr:colOff>
      <xdr:row>62</xdr:row>
      <xdr:rowOff>1056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67F6D2C-FA4E-46CA-A51B-AFC5180D6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15</xdr:col>
      <xdr:colOff>9525</xdr:colOff>
      <xdr:row>27</xdr:row>
      <xdr:rowOff>9525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4C5225E-7A62-441B-97DA-66B1EEDD2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0" y="0"/>
          <a:ext cx="6915150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9524</xdr:colOff>
      <xdr:row>69</xdr:row>
      <xdr:rowOff>21166</xdr:rowOff>
    </xdr:from>
    <xdr:to>
      <xdr:col>9</xdr:col>
      <xdr:colOff>1</xdr:colOff>
      <xdr:row>95</xdr:row>
      <xdr:rowOff>1057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BD9097A3-7A83-47F8-9009-719008D2C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68</xdr:row>
      <xdr:rowOff>0</xdr:rowOff>
    </xdr:from>
    <xdr:to>
      <xdr:col>18</xdr:col>
      <xdr:colOff>9525</xdr:colOff>
      <xdr:row>95</xdr:row>
      <xdr:rowOff>38100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BAC6BEAA-DA05-461A-8831-FB7F74FE3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4625" y="11068050"/>
          <a:ext cx="6915150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514317</xdr:colOff>
      <xdr:row>9</xdr:row>
      <xdr:rowOff>31751</xdr:rowOff>
    </xdr:from>
    <xdr:ext cx="417015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F4A4C5DA-308A-43D6-9CE6-28886E9C7836}"/>
                </a:ext>
              </a:extLst>
            </xdr:cNvPr>
            <xdr:cNvSpPr txBox="1"/>
          </xdr:nvSpPr>
          <xdr:spPr>
            <a:xfrm>
              <a:off x="8832817" y="1460501"/>
              <a:ext cx="417015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F4A4C5DA-308A-43D6-9CE6-28886E9C7836}"/>
                </a:ext>
              </a:extLst>
            </xdr:cNvPr>
            <xdr:cNvSpPr txBox="1"/>
          </xdr:nvSpPr>
          <xdr:spPr>
            <a:xfrm>
              <a:off x="8832817" y="1460501"/>
              <a:ext cx="417015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de-DE" sz="2000" b="0" i="0">
                  <a:latin typeface="Cambria Math" panose="02040503050406030204" pitchFamily="18" charset="0"/>
                </a:rPr>
                <a:t>𝐾_𝑡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6</xdr:col>
      <xdr:colOff>433884</xdr:colOff>
      <xdr:row>17</xdr:row>
      <xdr:rowOff>25401</xdr:rowOff>
    </xdr:from>
    <xdr:ext cx="417015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feld 12">
              <a:extLst>
                <a:ext uri="{FF2B5EF4-FFF2-40B4-BE49-F238E27FC236}">
                  <a16:creationId xmlns:a16="http://schemas.microsoft.com/office/drawing/2014/main" id="{3E6520BB-9D27-42EA-886B-D5066F049A24}"/>
                </a:ext>
              </a:extLst>
            </xdr:cNvPr>
            <xdr:cNvSpPr txBox="1"/>
          </xdr:nvSpPr>
          <xdr:spPr>
            <a:xfrm>
              <a:off x="8752384" y="2724151"/>
              <a:ext cx="417015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de-DE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13" name="Textfeld 12">
              <a:extLst>
                <a:ext uri="{FF2B5EF4-FFF2-40B4-BE49-F238E27FC236}">
                  <a16:creationId xmlns:a16="http://schemas.microsoft.com/office/drawing/2014/main" id="{3E6520BB-9D27-42EA-886B-D5066F049A24}"/>
                </a:ext>
              </a:extLst>
            </xdr:cNvPr>
            <xdr:cNvSpPr txBox="1"/>
          </xdr:nvSpPr>
          <xdr:spPr>
            <a:xfrm>
              <a:off x="8752384" y="2724151"/>
              <a:ext cx="417015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de-DE" sz="2000" b="0" i="0">
                  <a:latin typeface="Cambria Math" panose="02040503050406030204" pitchFamily="18" charset="0"/>
                </a:rPr>
                <a:t>𝑃_𝑡</a:t>
              </a:r>
              <a:endParaRPr lang="en-US" sz="2000"/>
            </a:p>
          </xdr:txBody>
        </xdr:sp>
      </mc:Fallback>
    </mc:AlternateContent>
    <xdr:clientData/>
  </xdr:oneCellAnchor>
  <xdr:twoCellAnchor editAs="oneCell">
    <xdr:from>
      <xdr:col>16</xdr:col>
      <xdr:colOff>0</xdr:colOff>
      <xdr:row>0</xdr:row>
      <xdr:rowOff>0</xdr:rowOff>
    </xdr:from>
    <xdr:to>
      <xdr:col>21</xdr:col>
      <xdr:colOff>9525</xdr:colOff>
      <xdr:row>27</xdr:row>
      <xdr:rowOff>9525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91A1079C-18A2-49A8-B5DC-31D7979DD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0" y="0"/>
          <a:ext cx="6915150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15</xdr:col>
      <xdr:colOff>9525</xdr:colOff>
      <xdr:row>63</xdr:row>
      <xdr:rowOff>9525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9D0768C9-1E02-4D21-91F6-28AE40EA4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0" y="5857875"/>
          <a:ext cx="6915150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9526</xdr:colOff>
      <xdr:row>261</xdr:row>
      <xdr:rowOff>152397</xdr:rowOff>
    </xdr:from>
    <xdr:to>
      <xdr:col>13</xdr:col>
      <xdr:colOff>1371600</xdr:colOff>
      <xdr:row>288</xdr:row>
      <xdr:rowOff>19049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93ACEF9-0F3B-4D99-8DAD-ED10EF95C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262</xdr:row>
      <xdr:rowOff>0</xdr:rowOff>
    </xdr:from>
    <xdr:to>
      <xdr:col>21</xdr:col>
      <xdr:colOff>485775</xdr:colOff>
      <xdr:row>289</xdr:row>
      <xdr:rowOff>9525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F935E88A-E4DF-4570-AEC3-1E8C91452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0" y="42424350"/>
          <a:ext cx="6915150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9525</xdr:colOff>
      <xdr:row>28</xdr:row>
      <xdr:rowOff>38100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C581EC4-9A91-4564-9CF7-19867F6EF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0" y="161925"/>
          <a:ext cx="6915150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topLeftCell="A10" zoomScale="90" zoomScaleNormal="90" workbookViewId="0">
      <selection activeCell="K37" sqref="K37"/>
    </sheetView>
  </sheetViews>
  <sheetFormatPr baseColWidth="10" defaultColWidth="20.7109375" defaultRowHeight="12.75" x14ac:dyDescent="0.2"/>
  <sheetData>
    <row r="1" spans="1:18" x14ac:dyDescent="0.2">
      <c r="A1" s="5" t="s">
        <v>1</v>
      </c>
      <c r="B1" s="5" t="s">
        <v>2</v>
      </c>
      <c r="C1" s="5" t="s">
        <v>3</v>
      </c>
      <c r="D1" s="5" t="s">
        <v>9</v>
      </c>
      <c r="G1" s="1"/>
      <c r="H1" s="1"/>
      <c r="I1" s="1"/>
      <c r="J1" s="1"/>
      <c r="K1" s="1"/>
      <c r="N1" s="1"/>
      <c r="O1" s="1"/>
      <c r="P1" s="1"/>
      <c r="Q1" s="1"/>
      <c r="R1" s="1"/>
    </row>
    <row r="2" spans="1:18" x14ac:dyDescent="0.2">
      <c r="A2" s="10">
        <v>1998</v>
      </c>
      <c r="B2" s="7">
        <v>77.3</v>
      </c>
      <c r="C2">
        <v>100</v>
      </c>
      <c r="G2" s="1"/>
      <c r="H2" s="1"/>
      <c r="I2" s="1"/>
      <c r="J2" s="1"/>
      <c r="K2" s="1"/>
      <c r="N2" s="1"/>
      <c r="O2" s="1"/>
      <c r="P2" s="1"/>
      <c r="Q2" s="1"/>
      <c r="R2" s="1"/>
    </row>
    <row r="3" spans="1:18" x14ac:dyDescent="0.2">
      <c r="A3" s="10">
        <v>1999</v>
      </c>
      <c r="B3" s="7">
        <v>77.8</v>
      </c>
      <c r="C3" s="1">
        <v>100</v>
      </c>
      <c r="D3">
        <f>1/B3/0.01*100</f>
        <v>128.53470437017995</v>
      </c>
      <c r="G3" s="1"/>
      <c r="H3" s="1"/>
      <c r="I3" s="1"/>
      <c r="J3" s="1"/>
      <c r="K3" s="1"/>
      <c r="N3" s="1"/>
      <c r="O3" s="1"/>
      <c r="P3" s="1"/>
      <c r="Q3" s="1"/>
      <c r="R3" s="1"/>
    </row>
    <row r="4" spans="1:18" x14ac:dyDescent="0.2">
      <c r="A4" s="10">
        <v>2000</v>
      </c>
      <c r="B4" s="7">
        <v>78.900000000000006</v>
      </c>
      <c r="C4" s="1">
        <v>100</v>
      </c>
      <c r="D4" s="1">
        <f>1/B4/0.01*100</f>
        <v>126.74271229404309</v>
      </c>
      <c r="G4" s="1"/>
      <c r="H4" s="1"/>
      <c r="I4" s="1"/>
      <c r="J4" s="1"/>
      <c r="K4" s="1"/>
      <c r="N4" s="1"/>
      <c r="O4" s="1"/>
      <c r="P4" s="1"/>
      <c r="Q4" s="1"/>
      <c r="R4" s="1"/>
    </row>
    <row r="5" spans="1:18" x14ac:dyDescent="0.2">
      <c r="A5" s="10">
        <v>2001</v>
      </c>
      <c r="B5" s="7">
        <v>80.400000000000006</v>
      </c>
      <c r="C5" s="1">
        <v>100</v>
      </c>
      <c r="D5" s="1">
        <f t="shared" ref="D5:D25" si="0">1/B5/0.01*100</f>
        <v>124.37810945273631</v>
      </c>
      <c r="G5" s="1"/>
      <c r="H5" s="1"/>
      <c r="I5" s="1"/>
      <c r="J5" s="1"/>
      <c r="K5" s="1"/>
      <c r="N5" s="1"/>
      <c r="O5" s="1"/>
      <c r="P5" s="1"/>
      <c r="Q5" s="1"/>
      <c r="R5" s="1"/>
    </row>
    <row r="6" spans="1:18" x14ac:dyDescent="0.2">
      <c r="A6" s="10">
        <v>2002</v>
      </c>
      <c r="B6" s="7">
        <v>81.5</v>
      </c>
      <c r="C6" s="1">
        <v>100</v>
      </c>
      <c r="D6" s="1">
        <f t="shared" si="0"/>
        <v>122.69938650306749</v>
      </c>
      <c r="G6" s="1"/>
      <c r="H6" s="1"/>
      <c r="I6" s="1"/>
      <c r="J6" s="1"/>
      <c r="K6" s="1"/>
      <c r="N6" s="1"/>
      <c r="O6" s="1"/>
      <c r="P6" s="1"/>
      <c r="Q6" s="1"/>
      <c r="R6" s="1"/>
    </row>
    <row r="7" spans="1:18" x14ac:dyDescent="0.2">
      <c r="A7" s="10">
        <v>2003</v>
      </c>
      <c r="B7" s="7">
        <v>82.4</v>
      </c>
      <c r="C7" s="1">
        <v>100</v>
      </c>
      <c r="D7" s="1">
        <f t="shared" si="0"/>
        <v>121.35922330097087</v>
      </c>
      <c r="G7" s="1"/>
      <c r="H7" s="1"/>
      <c r="I7" s="1"/>
      <c r="J7" s="1"/>
      <c r="K7" s="1"/>
      <c r="N7" s="1"/>
      <c r="O7" s="1"/>
      <c r="P7" s="1"/>
      <c r="Q7" s="1"/>
      <c r="R7" s="1"/>
    </row>
    <row r="8" spans="1:18" x14ac:dyDescent="0.2">
      <c r="A8" s="10">
        <v>2004</v>
      </c>
      <c r="B8" s="7">
        <v>83.8</v>
      </c>
      <c r="C8" s="1">
        <v>100</v>
      </c>
      <c r="D8" s="1">
        <f t="shared" si="0"/>
        <v>119.33174224343675</v>
      </c>
      <c r="G8" s="1"/>
      <c r="H8" s="1"/>
      <c r="I8" s="1"/>
      <c r="J8" s="1"/>
      <c r="K8" s="1"/>
      <c r="N8" s="1"/>
      <c r="O8" s="1"/>
      <c r="P8" s="1"/>
      <c r="Q8" s="1"/>
      <c r="R8" s="1"/>
    </row>
    <row r="9" spans="1:18" x14ac:dyDescent="0.2">
      <c r="A9" s="10">
        <v>2005</v>
      </c>
      <c r="B9" s="7">
        <v>85.5</v>
      </c>
      <c r="C9" s="1">
        <v>100</v>
      </c>
      <c r="D9" s="1">
        <f t="shared" si="0"/>
        <v>116.95906432748538</v>
      </c>
      <c r="G9" s="1"/>
      <c r="H9" s="1"/>
      <c r="I9" s="1"/>
      <c r="J9" s="1"/>
      <c r="K9" s="1"/>
      <c r="N9" s="1"/>
      <c r="O9" s="1"/>
      <c r="P9" s="1"/>
      <c r="Q9" s="1"/>
      <c r="R9" s="1"/>
    </row>
    <row r="10" spans="1:18" x14ac:dyDescent="0.2">
      <c r="A10" s="10">
        <v>2006</v>
      </c>
      <c r="B10" s="7">
        <v>87</v>
      </c>
      <c r="C10" s="1">
        <v>100</v>
      </c>
      <c r="D10" s="1">
        <f t="shared" si="0"/>
        <v>114.94252873563218</v>
      </c>
      <c r="G10" s="1"/>
      <c r="H10" s="1"/>
      <c r="I10" s="1"/>
      <c r="J10" s="1"/>
      <c r="K10" s="1"/>
      <c r="N10" s="1"/>
      <c r="O10" s="1"/>
      <c r="P10" s="1"/>
      <c r="Q10" s="1"/>
      <c r="R10" s="1"/>
    </row>
    <row r="11" spans="1:18" x14ac:dyDescent="0.2">
      <c r="A11" s="10">
        <v>2007</v>
      </c>
      <c r="B11" s="7">
        <v>89</v>
      </c>
      <c r="C11" s="1">
        <v>100</v>
      </c>
      <c r="D11" s="1">
        <f t="shared" si="0"/>
        <v>112.35955056179773</v>
      </c>
      <c r="G11" s="1"/>
      <c r="H11" s="1"/>
      <c r="I11" s="1"/>
      <c r="J11" s="1"/>
      <c r="K11" s="1"/>
      <c r="N11" s="1"/>
      <c r="O11" s="1"/>
      <c r="P11" s="1"/>
      <c r="Q11" s="1"/>
      <c r="R11" s="1"/>
    </row>
    <row r="12" spans="1:18" x14ac:dyDescent="0.2">
      <c r="A12" s="10">
        <v>2008</v>
      </c>
      <c r="B12" s="7">
        <v>91.4</v>
      </c>
      <c r="C12" s="1">
        <v>100</v>
      </c>
      <c r="D12" s="1">
        <f t="shared" si="0"/>
        <v>109.40919037199124</v>
      </c>
      <c r="G12" s="1"/>
      <c r="H12" s="1"/>
      <c r="I12" s="1"/>
      <c r="J12" s="1"/>
      <c r="K12" s="1"/>
      <c r="N12" s="1"/>
      <c r="O12" s="1"/>
      <c r="P12" s="1"/>
      <c r="Q12" s="1"/>
      <c r="R12" s="1"/>
    </row>
    <row r="13" spans="1:18" x14ac:dyDescent="0.2">
      <c r="A13" s="10">
        <v>2009</v>
      </c>
      <c r="B13" s="7">
        <v>91.6</v>
      </c>
      <c r="C13" s="1">
        <v>100</v>
      </c>
      <c r="D13" s="1">
        <f t="shared" si="0"/>
        <v>109.1703056768559</v>
      </c>
      <c r="G13" s="1"/>
      <c r="H13" s="1"/>
      <c r="I13" s="1"/>
      <c r="J13" s="1"/>
      <c r="K13" s="1"/>
      <c r="N13" s="1"/>
      <c r="O13" s="1"/>
      <c r="P13" s="1"/>
      <c r="Q13" s="1"/>
      <c r="R13" s="1"/>
    </row>
    <row r="14" spans="1:18" x14ac:dyDescent="0.2">
      <c r="A14" s="10">
        <v>2010</v>
      </c>
      <c r="B14" s="7">
        <v>92.7</v>
      </c>
      <c r="C14" s="1">
        <v>100</v>
      </c>
      <c r="D14" s="1">
        <f t="shared" si="0"/>
        <v>107.87486515641855</v>
      </c>
      <c r="G14" s="1"/>
      <c r="H14" s="1"/>
      <c r="I14" s="1"/>
      <c r="J14" s="1"/>
      <c r="K14" s="1"/>
      <c r="N14" s="1"/>
      <c r="O14" s="1"/>
      <c r="P14" s="1"/>
      <c r="Q14" s="1"/>
      <c r="R14" s="1"/>
    </row>
    <row r="15" spans="1:18" x14ac:dyDescent="0.2">
      <c r="A15" s="10">
        <v>2011</v>
      </c>
      <c r="B15" s="7">
        <v>95</v>
      </c>
      <c r="C15" s="1">
        <v>100</v>
      </c>
      <c r="D15" s="1">
        <f t="shared" si="0"/>
        <v>105.26315789473684</v>
      </c>
      <c r="G15" s="1"/>
      <c r="H15" s="1"/>
      <c r="I15" s="1"/>
      <c r="J15" s="1"/>
      <c r="K15" s="1"/>
      <c r="N15" s="1"/>
      <c r="O15" s="1"/>
      <c r="P15" s="1"/>
      <c r="Q15" s="1"/>
      <c r="R15" s="1"/>
    </row>
    <row r="16" spans="1:18" x14ac:dyDescent="0.2">
      <c r="A16" s="10">
        <v>2012</v>
      </c>
      <c r="B16" s="7">
        <v>97</v>
      </c>
      <c r="C16" s="1">
        <v>100</v>
      </c>
      <c r="D16" s="1">
        <f t="shared" si="0"/>
        <v>103.09278350515463</v>
      </c>
      <c r="G16" s="1"/>
      <c r="H16" s="1"/>
      <c r="I16" s="1"/>
      <c r="J16" s="1"/>
      <c r="K16" s="1"/>
      <c r="N16" s="1"/>
      <c r="O16" s="1"/>
      <c r="P16" s="1"/>
      <c r="Q16" s="1"/>
      <c r="R16" s="1"/>
    </row>
    <row r="17" spans="1:18" x14ac:dyDescent="0.2">
      <c r="A17" s="10">
        <v>2013</v>
      </c>
      <c r="B17" s="7">
        <v>98.6</v>
      </c>
      <c r="C17" s="1">
        <v>100</v>
      </c>
      <c r="D17" s="1">
        <f t="shared" si="0"/>
        <v>101.41987829614605</v>
      </c>
      <c r="G17" s="1"/>
      <c r="H17" s="1"/>
      <c r="I17" s="1"/>
      <c r="J17" s="1"/>
      <c r="K17" s="1"/>
      <c r="N17" s="1"/>
      <c r="O17" s="1"/>
      <c r="P17" s="1"/>
      <c r="Q17" s="1"/>
      <c r="R17" s="1"/>
    </row>
    <row r="18" spans="1:18" x14ac:dyDescent="0.2">
      <c r="A18" s="10">
        <v>2014</v>
      </c>
      <c r="B18" s="7">
        <v>99.3</v>
      </c>
      <c r="C18" s="1">
        <v>100</v>
      </c>
      <c r="D18" s="1">
        <f t="shared" si="0"/>
        <v>100.70493454179254</v>
      </c>
      <c r="G18" s="1"/>
      <c r="H18" s="1"/>
      <c r="I18" s="1"/>
      <c r="J18" s="1"/>
      <c r="K18" s="1"/>
      <c r="N18" s="1"/>
      <c r="O18" s="1"/>
      <c r="P18" s="1"/>
      <c r="Q18" s="1"/>
      <c r="R18" s="1"/>
    </row>
    <row r="19" spans="1:18" x14ac:dyDescent="0.2">
      <c r="A19" s="10">
        <v>2015</v>
      </c>
      <c r="B19" s="7">
        <v>100</v>
      </c>
      <c r="C19" s="1">
        <v>100</v>
      </c>
      <c r="D19" s="1">
        <f t="shared" si="0"/>
        <v>100</v>
      </c>
      <c r="G19" s="1"/>
      <c r="H19" s="1"/>
      <c r="I19" s="1"/>
      <c r="J19" s="1"/>
      <c r="K19" s="1"/>
      <c r="N19" s="1"/>
      <c r="O19" s="1"/>
      <c r="P19" s="1"/>
      <c r="Q19" s="1"/>
      <c r="R19" s="1"/>
    </row>
    <row r="20" spans="1:18" x14ac:dyDescent="0.2">
      <c r="A20" s="10">
        <v>2016</v>
      </c>
      <c r="B20" s="7">
        <v>100.4</v>
      </c>
      <c r="C20" s="1">
        <v>100</v>
      </c>
      <c r="D20" s="1">
        <f t="shared" si="0"/>
        <v>99.601593625498012</v>
      </c>
      <c r="G20" s="1"/>
      <c r="H20" s="1"/>
      <c r="I20" s="1"/>
      <c r="J20" s="1"/>
      <c r="K20" s="1"/>
      <c r="N20" s="1"/>
      <c r="O20" s="1"/>
      <c r="P20" s="1"/>
      <c r="Q20" s="1"/>
      <c r="R20" s="1"/>
    </row>
    <row r="21" spans="1:18" x14ac:dyDescent="0.2">
      <c r="A21" s="10">
        <v>2017</v>
      </c>
      <c r="B21" s="7">
        <v>102.1</v>
      </c>
      <c r="C21" s="1">
        <v>100</v>
      </c>
      <c r="D21" s="1">
        <f t="shared" si="0"/>
        <v>97.943192948090115</v>
      </c>
      <c r="G21" s="1"/>
      <c r="H21" s="1"/>
      <c r="I21" s="1"/>
      <c r="J21" s="1"/>
      <c r="K21" s="1"/>
      <c r="N21" s="1"/>
      <c r="O21" s="1"/>
      <c r="P21" s="1"/>
      <c r="Q21" s="1"/>
      <c r="R21" s="1"/>
    </row>
    <row r="22" spans="1:18" x14ac:dyDescent="0.2">
      <c r="A22" s="10">
        <v>2018</v>
      </c>
      <c r="B22" s="7">
        <v>104</v>
      </c>
      <c r="C22" s="1">
        <v>100</v>
      </c>
      <c r="D22" s="1">
        <f t="shared" si="0"/>
        <v>96.15384615384616</v>
      </c>
      <c r="G22" s="1"/>
      <c r="H22" s="1"/>
      <c r="I22" s="1"/>
      <c r="J22" s="1"/>
      <c r="K22" s="1"/>
      <c r="N22" s="1"/>
      <c r="O22" s="1"/>
      <c r="P22" s="1"/>
      <c r="Q22" s="1"/>
      <c r="R22" s="1"/>
    </row>
    <row r="23" spans="1:18" x14ac:dyDescent="0.2">
      <c r="A23" s="10">
        <v>2019</v>
      </c>
      <c r="B23" s="7">
        <v>105.5</v>
      </c>
      <c r="C23" s="1">
        <v>100</v>
      </c>
      <c r="D23" s="1">
        <f t="shared" si="0"/>
        <v>94.786729857819907</v>
      </c>
      <c r="G23" s="1"/>
      <c r="H23" s="1"/>
      <c r="I23" s="1"/>
      <c r="J23" s="1"/>
      <c r="K23" s="1"/>
      <c r="N23" s="1"/>
      <c r="O23" s="1"/>
      <c r="P23" s="1"/>
      <c r="Q23" s="1"/>
      <c r="R23" s="1"/>
    </row>
    <row r="24" spans="1:18" x14ac:dyDescent="0.2">
      <c r="A24" s="10">
        <v>2020</v>
      </c>
      <c r="B24" s="7">
        <v>105.8</v>
      </c>
      <c r="C24" s="1">
        <v>100</v>
      </c>
      <c r="D24" s="1">
        <f t="shared" si="0"/>
        <v>94.517958412098295</v>
      </c>
      <c r="G24" s="1"/>
      <c r="H24" s="1"/>
      <c r="I24" s="1"/>
      <c r="J24" s="1"/>
      <c r="K24" s="1"/>
      <c r="N24" s="1"/>
      <c r="O24" s="1"/>
      <c r="P24" s="1"/>
      <c r="Q24" s="1"/>
      <c r="R24" s="1"/>
    </row>
    <row r="25" spans="1:18" x14ac:dyDescent="0.2">
      <c r="A25" s="10">
        <v>2021</v>
      </c>
      <c r="B25" s="7">
        <v>109.2</v>
      </c>
      <c r="C25" s="1">
        <v>100</v>
      </c>
      <c r="D25" s="1">
        <f t="shared" si="0"/>
        <v>91.575091575091577</v>
      </c>
      <c r="G25" s="1"/>
      <c r="H25" s="1"/>
      <c r="I25" s="1"/>
      <c r="J25" s="1"/>
      <c r="K25" s="1"/>
    </row>
    <row r="26" spans="1:18" x14ac:dyDescent="0.2">
      <c r="A26" s="10"/>
      <c r="G26" s="1"/>
      <c r="H26" s="1"/>
      <c r="I26" s="1"/>
      <c r="J26" s="1"/>
      <c r="K26" s="1"/>
    </row>
    <row r="27" spans="1:18" ht="15" x14ac:dyDescent="0.2">
      <c r="A27" s="10"/>
      <c r="E27" s="6" t="s">
        <v>6</v>
      </c>
      <c r="F27" s="3"/>
      <c r="G27" s="3"/>
      <c r="H27" s="3"/>
      <c r="I27" s="4" t="s">
        <v>0</v>
      </c>
    </row>
    <row r="28" spans="1:18" x14ac:dyDescent="0.2">
      <c r="A28" s="10"/>
    </row>
    <row r="29" spans="1:18" x14ac:dyDescent="0.2">
      <c r="A29" s="8"/>
    </row>
    <row r="36" spans="1:9" x14ac:dyDescent="0.2">
      <c r="A36" s="5" t="s">
        <v>1</v>
      </c>
      <c r="B36" s="5" t="s">
        <v>4</v>
      </c>
      <c r="D36" s="5" t="s">
        <v>5</v>
      </c>
    </row>
    <row r="37" spans="1:9" x14ac:dyDescent="0.2">
      <c r="A37" s="10">
        <v>1998</v>
      </c>
      <c r="B37" s="7"/>
      <c r="D37" s="1">
        <f>GEOMEAN(C$38:C$60)</f>
        <v>1.0151345635132825</v>
      </c>
      <c r="E37" s="1"/>
      <c r="F37" s="1"/>
      <c r="G37" s="1"/>
      <c r="H37" s="1"/>
      <c r="I37" s="1"/>
    </row>
    <row r="38" spans="1:9" x14ac:dyDescent="0.2">
      <c r="A38" s="10">
        <v>1999</v>
      </c>
      <c r="B38" s="11">
        <f>(B3/B2-1)*100</f>
        <v>0.64683053040104355</v>
      </c>
      <c r="C38" s="9">
        <f>(1+B38/100)</f>
        <v>1.0064683053040104</v>
      </c>
      <c r="D38">
        <f>(D$37-1)*100</f>
        <v>1.5134563513282462</v>
      </c>
      <c r="E38" s="1"/>
      <c r="F38" s="1"/>
      <c r="G38" s="1"/>
      <c r="H38" s="1"/>
      <c r="I38" s="1"/>
    </row>
    <row r="39" spans="1:9" x14ac:dyDescent="0.2">
      <c r="A39" s="10">
        <v>2000</v>
      </c>
      <c r="B39" s="11">
        <f t="shared" ref="B39:B60" si="1">(B4/B3-1)*100</f>
        <v>1.413881748071999</v>
      </c>
      <c r="C39" s="9">
        <f t="shared" ref="C39:C60" si="2">(1+B39/100)</f>
        <v>1.01413881748072</v>
      </c>
      <c r="D39" s="1">
        <f t="shared" ref="D39:D60" si="3">(D$37-1)*100</f>
        <v>1.5134563513282462</v>
      </c>
      <c r="E39" s="1"/>
      <c r="F39" s="1"/>
      <c r="G39" s="1"/>
      <c r="H39" s="1"/>
      <c r="I39" s="1"/>
    </row>
    <row r="40" spans="1:9" x14ac:dyDescent="0.2">
      <c r="A40" s="10">
        <v>2001</v>
      </c>
      <c r="B40" s="11">
        <f t="shared" si="1"/>
        <v>1.9011406844106515</v>
      </c>
      <c r="C40" s="9">
        <f t="shared" si="2"/>
        <v>1.0190114068441065</v>
      </c>
      <c r="D40" s="1">
        <f t="shared" si="3"/>
        <v>1.5134563513282462</v>
      </c>
      <c r="E40" s="1"/>
      <c r="F40" s="1"/>
      <c r="G40" s="1"/>
      <c r="H40" s="1"/>
      <c r="I40" s="1"/>
    </row>
    <row r="41" spans="1:9" x14ac:dyDescent="0.2">
      <c r="A41" s="10">
        <v>2002</v>
      </c>
      <c r="B41" s="11">
        <f t="shared" si="1"/>
        <v>1.3681592039801016</v>
      </c>
      <c r="C41" s="9">
        <f t="shared" si="2"/>
        <v>1.013681592039801</v>
      </c>
      <c r="D41" s="1">
        <f t="shared" si="3"/>
        <v>1.5134563513282462</v>
      </c>
      <c r="E41" s="1"/>
      <c r="F41" s="1"/>
      <c r="G41" s="1"/>
      <c r="H41" s="1"/>
      <c r="I41" s="1"/>
    </row>
    <row r="42" spans="1:9" x14ac:dyDescent="0.2">
      <c r="A42" s="10">
        <v>2003</v>
      </c>
      <c r="B42" s="11">
        <f t="shared" si="1"/>
        <v>1.1042944785276232</v>
      </c>
      <c r="C42" s="9">
        <f t="shared" si="2"/>
        <v>1.0110429447852762</v>
      </c>
      <c r="D42" s="1">
        <f t="shared" si="3"/>
        <v>1.5134563513282462</v>
      </c>
      <c r="E42" s="1"/>
      <c r="F42" s="1"/>
      <c r="G42" s="1"/>
      <c r="H42" s="1"/>
      <c r="I42" s="1"/>
    </row>
    <row r="43" spans="1:9" x14ac:dyDescent="0.2">
      <c r="A43" s="10">
        <v>2004</v>
      </c>
      <c r="B43" s="11">
        <f t="shared" si="1"/>
        <v>1.6990291262135804</v>
      </c>
      <c r="C43" s="9">
        <f t="shared" si="2"/>
        <v>1.0169902912621358</v>
      </c>
      <c r="D43" s="1">
        <f t="shared" si="3"/>
        <v>1.5134563513282462</v>
      </c>
      <c r="E43" s="1"/>
      <c r="F43" s="1"/>
      <c r="G43" s="1"/>
      <c r="H43" s="1"/>
      <c r="I43" s="1"/>
    </row>
    <row r="44" spans="1:9" x14ac:dyDescent="0.2">
      <c r="A44" s="10">
        <v>2005</v>
      </c>
      <c r="B44" s="11">
        <f t="shared" si="1"/>
        <v>2.0286396181384392</v>
      </c>
      <c r="C44" s="9">
        <f t="shared" si="2"/>
        <v>1.0202863961813844</v>
      </c>
      <c r="D44" s="1">
        <f t="shared" si="3"/>
        <v>1.5134563513282462</v>
      </c>
      <c r="E44" s="1"/>
      <c r="F44" s="1"/>
      <c r="G44" s="1"/>
      <c r="H44" s="1"/>
      <c r="I44" s="1"/>
    </row>
    <row r="45" spans="1:9" x14ac:dyDescent="0.2">
      <c r="A45" s="10">
        <v>2006</v>
      </c>
      <c r="B45" s="11">
        <f t="shared" si="1"/>
        <v>1.7543859649122862</v>
      </c>
      <c r="C45" s="9">
        <f t="shared" si="2"/>
        <v>1.0175438596491229</v>
      </c>
      <c r="D45" s="1">
        <f t="shared" si="3"/>
        <v>1.5134563513282462</v>
      </c>
      <c r="E45" s="1"/>
      <c r="F45" s="1"/>
      <c r="G45" s="1"/>
      <c r="H45" s="1"/>
      <c r="I45" s="1"/>
    </row>
    <row r="46" spans="1:9" x14ac:dyDescent="0.2">
      <c r="A46" s="10">
        <v>2007</v>
      </c>
      <c r="B46" s="11">
        <f t="shared" si="1"/>
        <v>2.2988505747126409</v>
      </c>
      <c r="C46" s="9">
        <f t="shared" si="2"/>
        <v>1.0229885057471264</v>
      </c>
      <c r="D46" s="1">
        <f t="shared" si="3"/>
        <v>1.5134563513282462</v>
      </c>
      <c r="E46" s="1"/>
      <c r="F46" s="1"/>
      <c r="G46" s="1"/>
      <c r="H46" s="1"/>
      <c r="I46" s="1"/>
    </row>
    <row r="47" spans="1:9" x14ac:dyDescent="0.2">
      <c r="A47" s="10">
        <v>2008</v>
      </c>
      <c r="B47" s="11">
        <f t="shared" si="1"/>
        <v>2.6966292134831482</v>
      </c>
      <c r="C47" s="9">
        <f t="shared" si="2"/>
        <v>1.0269662921348315</v>
      </c>
      <c r="D47" s="1">
        <f t="shared" si="3"/>
        <v>1.5134563513282462</v>
      </c>
      <c r="E47" s="1"/>
      <c r="F47" s="1"/>
      <c r="G47" s="1"/>
      <c r="H47" s="1"/>
      <c r="I47" s="1"/>
    </row>
    <row r="48" spans="1:9" x14ac:dyDescent="0.2">
      <c r="A48" s="10">
        <v>2009</v>
      </c>
      <c r="B48" s="11">
        <f t="shared" si="1"/>
        <v>0.21881838074397919</v>
      </c>
      <c r="C48" s="9">
        <f t="shared" si="2"/>
        <v>1.0021881838074398</v>
      </c>
      <c r="D48" s="1">
        <f t="shared" si="3"/>
        <v>1.5134563513282462</v>
      </c>
      <c r="E48" s="1"/>
      <c r="F48" s="1"/>
      <c r="G48" s="1"/>
      <c r="H48" s="1"/>
      <c r="I48" s="1"/>
    </row>
    <row r="49" spans="1:9" x14ac:dyDescent="0.2">
      <c r="A49" s="10">
        <v>2010</v>
      </c>
      <c r="B49" s="11">
        <f t="shared" si="1"/>
        <v>1.2008733624454315</v>
      </c>
      <c r="C49" s="9">
        <f t="shared" si="2"/>
        <v>1.0120087336244543</v>
      </c>
      <c r="D49" s="1">
        <f t="shared" si="3"/>
        <v>1.5134563513282462</v>
      </c>
      <c r="E49" s="1"/>
      <c r="F49" s="1"/>
      <c r="G49" s="1"/>
      <c r="H49" s="1"/>
      <c r="I49" s="1"/>
    </row>
    <row r="50" spans="1:9" x14ac:dyDescent="0.2">
      <c r="A50" s="10">
        <v>2011</v>
      </c>
      <c r="B50" s="11">
        <f t="shared" si="1"/>
        <v>2.4811218985976158</v>
      </c>
      <c r="C50" s="9">
        <f t="shared" si="2"/>
        <v>1.0248112189859762</v>
      </c>
      <c r="D50" s="1">
        <f t="shared" si="3"/>
        <v>1.5134563513282462</v>
      </c>
      <c r="E50" s="1"/>
      <c r="F50" s="1"/>
      <c r="G50" s="1"/>
      <c r="H50" s="1"/>
      <c r="I50" s="1"/>
    </row>
    <row r="51" spans="1:9" x14ac:dyDescent="0.2">
      <c r="A51" s="10">
        <v>2012</v>
      </c>
      <c r="B51" s="11">
        <f t="shared" si="1"/>
        <v>2.1052631578947434</v>
      </c>
      <c r="C51" s="9">
        <f t="shared" si="2"/>
        <v>1.0210526315789474</v>
      </c>
      <c r="D51" s="1">
        <f t="shared" si="3"/>
        <v>1.5134563513282462</v>
      </c>
      <c r="E51" s="1"/>
      <c r="F51" s="1"/>
      <c r="G51" s="1"/>
      <c r="H51" s="1"/>
      <c r="I51" s="1"/>
    </row>
    <row r="52" spans="1:9" x14ac:dyDescent="0.2">
      <c r="A52" s="10">
        <v>2013</v>
      </c>
      <c r="B52" s="11">
        <f t="shared" si="1"/>
        <v>1.6494845360824684</v>
      </c>
      <c r="C52" s="9">
        <f t="shared" si="2"/>
        <v>1.0164948453608247</v>
      </c>
      <c r="D52" s="1">
        <f t="shared" si="3"/>
        <v>1.5134563513282462</v>
      </c>
      <c r="E52" s="1"/>
      <c r="F52" s="1"/>
      <c r="G52" s="1"/>
      <c r="H52" s="1"/>
      <c r="I52" s="1"/>
    </row>
    <row r="53" spans="1:9" x14ac:dyDescent="0.2">
      <c r="A53" s="10">
        <v>2014</v>
      </c>
      <c r="B53" s="11">
        <f t="shared" si="1"/>
        <v>0.70993914807302438</v>
      </c>
      <c r="C53" s="9">
        <f t="shared" si="2"/>
        <v>1.0070993914807302</v>
      </c>
      <c r="D53" s="1">
        <f t="shared" si="3"/>
        <v>1.5134563513282462</v>
      </c>
      <c r="E53" s="1"/>
      <c r="F53" s="1"/>
      <c r="G53" s="1"/>
      <c r="H53" s="1"/>
      <c r="I53" s="1"/>
    </row>
    <row r="54" spans="1:9" x14ac:dyDescent="0.2">
      <c r="A54" s="10">
        <v>2015</v>
      </c>
      <c r="B54" s="11">
        <f t="shared" si="1"/>
        <v>0.70493454179254567</v>
      </c>
      <c r="C54" s="9">
        <f t="shared" si="2"/>
        <v>1.0070493454179255</v>
      </c>
      <c r="D54" s="1">
        <f t="shared" si="3"/>
        <v>1.5134563513282462</v>
      </c>
      <c r="E54" s="1"/>
      <c r="F54" s="1"/>
      <c r="G54" s="1"/>
      <c r="H54" s="1"/>
      <c r="I54" s="1"/>
    </row>
    <row r="55" spans="1:9" x14ac:dyDescent="0.2">
      <c r="A55" s="10">
        <v>2016</v>
      </c>
      <c r="B55" s="11">
        <f t="shared" si="1"/>
        <v>0.40000000000000036</v>
      </c>
      <c r="C55" s="9">
        <f t="shared" si="2"/>
        <v>1.004</v>
      </c>
      <c r="D55" s="1">
        <f t="shared" si="3"/>
        <v>1.5134563513282462</v>
      </c>
      <c r="E55" s="1"/>
      <c r="F55" s="1"/>
      <c r="G55" s="1"/>
      <c r="H55" s="1"/>
      <c r="I55" s="1"/>
    </row>
    <row r="56" spans="1:9" x14ac:dyDescent="0.2">
      <c r="A56" s="10">
        <v>2017</v>
      </c>
      <c r="B56" s="11">
        <f t="shared" si="1"/>
        <v>1.6932270916334646</v>
      </c>
      <c r="C56" s="9">
        <f t="shared" si="2"/>
        <v>1.0169322709163346</v>
      </c>
      <c r="D56" s="1">
        <f t="shared" si="3"/>
        <v>1.5134563513282462</v>
      </c>
      <c r="E56" s="1"/>
      <c r="F56" s="1"/>
      <c r="G56" s="1"/>
      <c r="H56" s="1"/>
      <c r="I56" s="1"/>
    </row>
    <row r="57" spans="1:9" x14ac:dyDescent="0.2">
      <c r="A57" s="10">
        <v>2018</v>
      </c>
      <c r="B57" s="11">
        <f t="shared" si="1"/>
        <v>1.8609206660137101</v>
      </c>
      <c r="C57" s="9">
        <f t="shared" si="2"/>
        <v>1.0186092066601371</v>
      </c>
      <c r="D57" s="1">
        <f t="shared" si="3"/>
        <v>1.5134563513282462</v>
      </c>
      <c r="E57" s="1"/>
      <c r="F57" s="1"/>
      <c r="G57" s="1"/>
      <c r="H57" s="1"/>
      <c r="I57" s="1"/>
    </row>
    <row r="58" spans="1:9" x14ac:dyDescent="0.2">
      <c r="A58" s="10">
        <v>2019</v>
      </c>
      <c r="B58" s="11">
        <f t="shared" si="1"/>
        <v>1.4423076923076872</v>
      </c>
      <c r="C58" s="9">
        <f t="shared" si="2"/>
        <v>1.0144230769230769</v>
      </c>
      <c r="D58" s="1">
        <f t="shared" si="3"/>
        <v>1.5134563513282462</v>
      </c>
      <c r="E58" s="1"/>
      <c r="F58" s="1"/>
      <c r="G58" s="1"/>
      <c r="H58" s="1"/>
      <c r="I58" s="1"/>
    </row>
    <row r="59" spans="1:9" x14ac:dyDescent="0.2">
      <c r="A59" s="10">
        <v>2020</v>
      </c>
      <c r="B59" s="11">
        <f t="shared" si="1"/>
        <v>0.28436018957345155</v>
      </c>
      <c r="C59" s="9">
        <f t="shared" si="2"/>
        <v>1.0028436018957345</v>
      </c>
      <c r="D59" s="1">
        <f t="shared" si="3"/>
        <v>1.5134563513282462</v>
      </c>
      <c r="E59" s="1"/>
      <c r="F59" s="1"/>
      <c r="G59" s="1"/>
      <c r="H59" s="1"/>
      <c r="I59" s="1"/>
    </row>
    <row r="60" spans="1:9" x14ac:dyDescent="0.2">
      <c r="A60" s="10">
        <v>2021</v>
      </c>
      <c r="B60" s="11">
        <f t="shared" si="1"/>
        <v>3.2136105860113506</v>
      </c>
      <c r="C60" s="9">
        <f t="shared" si="2"/>
        <v>1.0321361058601135</v>
      </c>
      <c r="D60" s="1">
        <f t="shared" si="3"/>
        <v>1.5134563513282462</v>
      </c>
      <c r="E60" s="1"/>
      <c r="F60" s="1"/>
      <c r="G60" s="1"/>
      <c r="H60" s="1"/>
      <c r="I60" s="1"/>
    </row>
    <row r="61" spans="1:9" x14ac:dyDescent="0.2">
      <c r="E61" s="1"/>
      <c r="F61" s="1"/>
      <c r="G61" s="1"/>
      <c r="H61" s="1"/>
      <c r="I61" s="1"/>
    </row>
    <row r="62" spans="1:9" x14ac:dyDescent="0.2">
      <c r="E62" s="1"/>
      <c r="F62" s="1"/>
      <c r="G62" s="1"/>
      <c r="H62" s="1"/>
      <c r="I62" s="1"/>
    </row>
    <row r="63" spans="1:9" ht="15" x14ac:dyDescent="0.2">
      <c r="E63" s="6" t="s">
        <v>6</v>
      </c>
      <c r="F63" s="3"/>
      <c r="G63" s="3"/>
      <c r="H63" s="3"/>
      <c r="I63" s="4" t="s">
        <v>7</v>
      </c>
    </row>
    <row r="69" spans="1:12" x14ac:dyDescent="0.2">
      <c r="A69" t="s">
        <v>1</v>
      </c>
      <c r="B69" t="s">
        <v>4</v>
      </c>
      <c r="C69" t="s">
        <v>5</v>
      </c>
      <c r="D69" t="s">
        <v>8</v>
      </c>
      <c r="J69">
        <v>2015</v>
      </c>
      <c r="K69">
        <v>2016</v>
      </c>
      <c r="L69">
        <v>2017</v>
      </c>
    </row>
    <row r="70" spans="1:12" x14ac:dyDescent="0.2">
      <c r="A70" s="10">
        <v>1998</v>
      </c>
      <c r="E70" s="1"/>
      <c r="F70" s="1"/>
      <c r="G70" s="1"/>
      <c r="H70" s="1"/>
      <c r="I70" s="1"/>
    </row>
    <row r="71" spans="1:12" x14ac:dyDescent="0.2">
      <c r="A71" s="10">
        <v>1999</v>
      </c>
      <c r="B71" s="11">
        <v>0.64683053040104355</v>
      </c>
      <c r="C71">
        <v>1.5163783649574341</v>
      </c>
      <c r="D71" s="1">
        <v>2</v>
      </c>
      <c r="E71" s="1"/>
      <c r="F71" s="1"/>
      <c r="G71" s="1"/>
      <c r="H71" s="1"/>
      <c r="I71" s="1"/>
    </row>
    <row r="72" spans="1:12" x14ac:dyDescent="0.2">
      <c r="A72" s="10">
        <v>2000</v>
      </c>
      <c r="B72" s="11">
        <v>1.413881748071999</v>
      </c>
      <c r="C72">
        <v>1.5163783649574341</v>
      </c>
      <c r="D72" s="1">
        <v>2</v>
      </c>
      <c r="E72" s="1"/>
      <c r="F72" s="1"/>
      <c r="G72" s="1"/>
      <c r="H72" s="1"/>
      <c r="I72" s="1"/>
      <c r="K72" s="1"/>
    </row>
    <row r="73" spans="1:12" x14ac:dyDescent="0.2">
      <c r="A73" s="10">
        <v>2001</v>
      </c>
      <c r="B73" s="11">
        <v>1.9011406844106515</v>
      </c>
      <c r="C73">
        <v>1.5163783649574341</v>
      </c>
      <c r="D73" s="1">
        <v>2</v>
      </c>
      <c r="E73" s="1"/>
      <c r="F73" s="1"/>
      <c r="G73" s="1"/>
      <c r="H73" s="1"/>
      <c r="I73" s="1"/>
      <c r="K73" s="1"/>
    </row>
    <row r="74" spans="1:12" x14ac:dyDescent="0.2">
      <c r="A74" s="10">
        <v>2002</v>
      </c>
      <c r="B74" s="11">
        <v>1.3681592039801016</v>
      </c>
      <c r="C74">
        <v>1.5163783649574341</v>
      </c>
      <c r="D74" s="1">
        <v>2</v>
      </c>
      <c r="E74" s="1"/>
      <c r="F74" s="1"/>
      <c r="G74" s="1"/>
      <c r="H74" s="1"/>
      <c r="I74" s="1"/>
      <c r="K74" s="1"/>
    </row>
    <row r="75" spans="1:12" x14ac:dyDescent="0.2">
      <c r="A75" s="10">
        <v>2003</v>
      </c>
      <c r="B75" s="11">
        <v>1.1042944785276232</v>
      </c>
      <c r="C75">
        <v>1.5163783649574341</v>
      </c>
      <c r="D75" s="1">
        <v>2</v>
      </c>
      <c r="E75" s="1"/>
      <c r="F75" s="1"/>
      <c r="G75" s="1"/>
      <c r="H75" s="1"/>
      <c r="I75" s="1"/>
      <c r="K75" s="1"/>
    </row>
    <row r="76" spans="1:12" x14ac:dyDescent="0.2">
      <c r="A76" s="10">
        <v>2004</v>
      </c>
      <c r="B76" s="11">
        <v>1.6990291262135804</v>
      </c>
      <c r="C76">
        <v>1.5163783649574341</v>
      </c>
      <c r="D76" s="1">
        <v>2</v>
      </c>
      <c r="E76" s="1"/>
      <c r="F76" s="1"/>
      <c r="G76" s="1"/>
      <c r="H76" s="1"/>
      <c r="I76" s="1"/>
      <c r="K76" s="1"/>
    </row>
    <row r="77" spans="1:12" x14ac:dyDescent="0.2">
      <c r="A77" s="10">
        <v>2005</v>
      </c>
      <c r="B77" s="11">
        <v>2.0286396181384392</v>
      </c>
      <c r="C77">
        <v>1.5163783649574341</v>
      </c>
      <c r="D77" s="1">
        <v>2</v>
      </c>
      <c r="E77" s="1"/>
      <c r="F77" s="1"/>
      <c r="G77" s="1"/>
      <c r="H77" s="1"/>
      <c r="I77" s="1"/>
      <c r="K77" s="1"/>
    </row>
    <row r="78" spans="1:12" x14ac:dyDescent="0.2">
      <c r="A78" s="10">
        <v>2006</v>
      </c>
      <c r="B78" s="11">
        <v>1.7543859649122862</v>
      </c>
      <c r="C78">
        <v>1.5163783649574341</v>
      </c>
      <c r="D78" s="1">
        <v>2</v>
      </c>
      <c r="E78" s="1"/>
      <c r="F78" s="1"/>
      <c r="G78" s="1"/>
      <c r="H78" s="1"/>
      <c r="I78" s="1"/>
      <c r="K78" s="1"/>
    </row>
    <row r="79" spans="1:12" x14ac:dyDescent="0.2">
      <c r="A79" s="10">
        <v>2007</v>
      </c>
      <c r="B79" s="11">
        <v>2.2988505747126409</v>
      </c>
      <c r="C79">
        <v>1.5163783649574341</v>
      </c>
      <c r="D79" s="1">
        <v>2</v>
      </c>
      <c r="E79" s="1"/>
      <c r="F79" s="1"/>
      <c r="G79" s="1"/>
      <c r="H79" s="1"/>
      <c r="I79" s="1"/>
      <c r="K79" s="1"/>
    </row>
    <row r="80" spans="1:12" x14ac:dyDescent="0.2">
      <c r="A80" s="10">
        <v>2008</v>
      </c>
      <c r="B80" s="11">
        <v>2.6966292134831482</v>
      </c>
      <c r="C80">
        <v>1.5163783649574341</v>
      </c>
      <c r="D80" s="1">
        <v>2</v>
      </c>
      <c r="E80" s="1"/>
      <c r="F80" s="1"/>
      <c r="G80" s="1"/>
      <c r="H80" s="1"/>
      <c r="I80" s="1"/>
      <c r="K80" s="1"/>
    </row>
    <row r="81" spans="1:12" x14ac:dyDescent="0.2">
      <c r="A81" s="10">
        <v>2009</v>
      </c>
      <c r="B81" s="11">
        <v>0.21881838074397919</v>
      </c>
      <c r="C81">
        <v>1.5163783649574341</v>
      </c>
      <c r="D81" s="1">
        <v>2</v>
      </c>
      <c r="E81" s="1"/>
      <c r="F81" s="1"/>
      <c r="G81" s="1"/>
      <c r="H81" s="1"/>
      <c r="I81" s="1"/>
      <c r="K81" s="1"/>
    </row>
    <row r="82" spans="1:12" x14ac:dyDescent="0.2">
      <c r="A82" s="10">
        <v>2010</v>
      </c>
      <c r="B82" s="11">
        <v>1.2008733624454315</v>
      </c>
      <c r="C82">
        <v>1.5163783649574341</v>
      </c>
      <c r="D82" s="1">
        <v>2</v>
      </c>
      <c r="E82" s="1"/>
      <c r="F82" s="1"/>
      <c r="G82" s="1"/>
      <c r="H82" s="1"/>
      <c r="I82" s="1"/>
      <c r="K82" s="1"/>
    </row>
    <row r="83" spans="1:12" x14ac:dyDescent="0.2">
      <c r="A83" s="10">
        <v>2011</v>
      </c>
      <c r="B83" s="11">
        <v>2.4811218985976158</v>
      </c>
      <c r="C83">
        <v>1.5163783649574341</v>
      </c>
      <c r="D83" s="1">
        <v>2</v>
      </c>
      <c r="E83" s="1"/>
      <c r="F83" s="1"/>
      <c r="G83" s="1"/>
      <c r="H83" s="1"/>
      <c r="I83" s="1"/>
      <c r="K83" s="1"/>
    </row>
    <row r="84" spans="1:12" x14ac:dyDescent="0.2">
      <c r="A84" s="10">
        <v>2012</v>
      </c>
      <c r="B84" s="11">
        <v>2.1052631578947434</v>
      </c>
      <c r="C84">
        <v>1.5163783649574341</v>
      </c>
      <c r="D84" s="1">
        <v>2</v>
      </c>
      <c r="E84" s="1"/>
      <c r="F84" s="1"/>
      <c r="G84" s="1"/>
      <c r="H84" s="1"/>
      <c r="I84" s="1"/>
      <c r="K84" s="1"/>
    </row>
    <row r="85" spans="1:12" x14ac:dyDescent="0.2">
      <c r="A85" s="10">
        <v>2013</v>
      </c>
      <c r="B85" s="11">
        <v>1.6494845360824684</v>
      </c>
      <c r="C85">
        <v>1.5163783649574341</v>
      </c>
      <c r="D85" s="1">
        <v>2</v>
      </c>
      <c r="E85" s="1"/>
      <c r="F85" s="1"/>
      <c r="G85" s="1"/>
      <c r="H85" s="1"/>
      <c r="I85" s="1"/>
      <c r="K85" s="1"/>
    </row>
    <row r="86" spans="1:12" x14ac:dyDescent="0.2">
      <c r="A86" s="10">
        <v>2014</v>
      </c>
      <c r="B86" s="11">
        <v>0.70993914807302438</v>
      </c>
      <c r="C86">
        <v>1.5163783649574341</v>
      </c>
      <c r="D86" s="1">
        <v>2</v>
      </c>
      <c r="E86" s="1"/>
      <c r="F86" s="1"/>
      <c r="G86" s="1"/>
      <c r="H86" s="1"/>
      <c r="I86" s="1"/>
      <c r="J86" s="2">
        <f>B$87</f>
        <v>0.70493454179254567</v>
      </c>
      <c r="K86" s="1"/>
    </row>
    <row r="87" spans="1:12" x14ac:dyDescent="0.2">
      <c r="A87" s="10">
        <v>2015</v>
      </c>
      <c r="B87" s="11">
        <v>0.70493454179254567</v>
      </c>
      <c r="C87">
        <v>1.5163783649574341</v>
      </c>
      <c r="D87" s="1">
        <v>2</v>
      </c>
      <c r="E87" s="1"/>
      <c r="F87" s="1"/>
      <c r="G87" s="1"/>
      <c r="H87" s="1"/>
      <c r="I87" s="1"/>
      <c r="J87" s="2">
        <f>B$87</f>
        <v>0.70493454179254567</v>
      </c>
      <c r="K87" s="2">
        <f>B$88</f>
        <v>0.40000000000000036</v>
      </c>
    </row>
    <row r="88" spans="1:12" x14ac:dyDescent="0.2">
      <c r="A88" s="10">
        <v>2016</v>
      </c>
      <c r="B88" s="11">
        <v>0.40000000000000036</v>
      </c>
      <c r="C88">
        <v>1.5163783649574341</v>
      </c>
      <c r="D88" s="1">
        <v>2</v>
      </c>
      <c r="E88" s="1"/>
      <c r="F88" s="1"/>
      <c r="G88" s="1"/>
      <c r="H88" s="1"/>
      <c r="I88" s="1"/>
      <c r="J88" s="2">
        <f>B$87</f>
        <v>0.70493454179254567</v>
      </c>
      <c r="K88" s="2">
        <f>B$88</f>
        <v>0.40000000000000036</v>
      </c>
      <c r="L88" s="2">
        <f>B$89</f>
        <v>1.6932270916334646</v>
      </c>
    </row>
    <row r="89" spans="1:12" x14ac:dyDescent="0.2">
      <c r="A89" s="10">
        <v>2017</v>
      </c>
      <c r="B89" s="11">
        <v>1.6932270916334646</v>
      </c>
      <c r="C89">
        <v>1.5163783649574341</v>
      </c>
      <c r="D89" s="1">
        <v>2</v>
      </c>
      <c r="E89" s="1"/>
      <c r="F89" s="1"/>
      <c r="G89" s="1"/>
      <c r="H89" s="1"/>
      <c r="I89" s="1"/>
      <c r="K89" s="2">
        <f>B$88</f>
        <v>0.40000000000000036</v>
      </c>
      <c r="L89" s="2">
        <f>B$89</f>
        <v>1.6932270916334646</v>
      </c>
    </row>
    <row r="90" spans="1:12" x14ac:dyDescent="0.2">
      <c r="A90" s="10">
        <v>2018</v>
      </c>
      <c r="B90" s="11">
        <v>1.8609206660137101</v>
      </c>
      <c r="C90">
        <v>1.5163783649574341</v>
      </c>
      <c r="D90" s="1">
        <v>2</v>
      </c>
      <c r="E90" s="1"/>
      <c r="F90" s="1"/>
      <c r="G90" s="1"/>
      <c r="H90" s="1"/>
      <c r="I90" s="1"/>
      <c r="K90" s="1"/>
      <c r="L90" s="2">
        <f>B$89</f>
        <v>1.6932270916334646</v>
      </c>
    </row>
    <row r="91" spans="1:12" x14ac:dyDescent="0.2">
      <c r="A91" s="10">
        <v>2019</v>
      </c>
      <c r="B91" s="11">
        <v>1.4423076923076872</v>
      </c>
      <c r="C91">
        <v>1.5163783649574341</v>
      </c>
      <c r="D91" s="1">
        <v>2</v>
      </c>
      <c r="E91" s="1"/>
      <c r="F91" s="1"/>
      <c r="G91" s="1"/>
      <c r="H91" s="1"/>
      <c r="I91" s="1"/>
      <c r="K91" s="1"/>
    </row>
    <row r="92" spans="1:12" x14ac:dyDescent="0.2">
      <c r="A92" s="10">
        <v>2020</v>
      </c>
      <c r="B92" s="11">
        <v>0.28436018957345155</v>
      </c>
      <c r="C92">
        <v>1.5163783649574341</v>
      </c>
      <c r="D92" s="1">
        <v>2</v>
      </c>
      <c r="E92" s="1"/>
      <c r="F92" s="1"/>
      <c r="G92" s="1"/>
      <c r="H92" s="1"/>
      <c r="I92" s="1"/>
      <c r="K92" s="1"/>
    </row>
    <row r="93" spans="1:12" x14ac:dyDescent="0.2">
      <c r="A93" s="10">
        <v>2021</v>
      </c>
      <c r="B93" s="11">
        <v>3.2136105860113506</v>
      </c>
      <c r="C93">
        <v>1.5163783649574341</v>
      </c>
      <c r="D93" s="1">
        <v>2</v>
      </c>
      <c r="E93" s="1"/>
      <c r="F93" s="1"/>
      <c r="G93" s="1"/>
      <c r="H93" s="1"/>
      <c r="I93" s="1"/>
      <c r="K93" s="1"/>
    </row>
    <row r="94" spans="1:12" x14ac:dyDescent="0.2">
      <c r="D94" s="1"/>
      <c r="E94" s="1"/>
      <c r="F94" s="1"/>
      <c r="G94" s="1"/>
      <c r="H94" s="1"/>
      <c r="I94" s="1"/>
      <c r="K94" s="1"/>
    </row>
    <row r="95" spans="1:12" x14ac:dyDescent="0.2">
      <c r="E95" s="1"/>
      <c r="F95" s="1"/>
      <c r="G95" s="1"/>
      <c r="H95" s="1"/>
      <c r="I95" s="1"/>
    </row>
    <row r="96" spans="1:12" ht="15" x14ac:dyDescent="0.2">
      <c r="E96" s="6" t="s">
        <v>6</v>
      </c>
      <c r="F96" s="3"/>
      <c r="G96" s="3"/>
      <c r="H96" s="3"/>
      <c r="I96" s="4" t="s">
        <v>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4BE3-908D-4DB1-9137-E5BBE3E983B4}">
  <dimension ref="A1:N1838"/>
  <sheetViews>
    <sheetView tabSelected="1" workbookViewId="0">
      <selection activeCell="J2" sqref="J2"/>
    </sheetView>
  </sheetViews>
  <sheetFormatPr baseColWidth="10" defaultRowHeight="12.75" x14ac:dyDescent="0.2"/>
  <cols>
    <col min="1" max="5" width="20.7109375" style="1" customWidth="1"/>
    <col min="7" max="18" width="20.7109375" customWidth="1"/>
  </cols>
  <sheetData>
    <row r="1" spans="1:8" x14ac:dyDescent="0.2">
      <c r="A1" s="14" t="s">
        <v>10</v>
      </c>
      <c r="B1" s="14"/>
    </row>
    <row r="2" spans="1:8" x14ac:dyDescent="0.2">
      <c r="A2" s="14" t="s">
        <v>11</v>
      </c>
      <c r="B2" s="14"/>
    </row>
    <row r="3" spans="1:8" x14ac:dyDescent="0.2">
      <c r="A3" s="14" t="s">
        <v>12</v>
      </c>
      <c r="B3" s="14"/>
    </row>
    <row r="4" spans="1:8" x14ac:dyDescent="0.2">
      <c r="A4" s="14" t="s">
        <v>13</v>
      </c>
      <c r="B4" s="14"/>
    </row>
    <row r="5" spans="1:8" x14ac:dyDescent="0.2">
      <c r="A5" s="14" t="s">
        <v>14</v>
      </c>
      <c r="B5" s="14"/>
    </row>
    <row r="6" spans="1:8" x14ac:dyDescent="0.2">
      <c r="A6" s="14" t="s">
        <v>15</v>
      </c>
      <c r="B6" s="14"/>
    </row>
    <row r="8" spans="1:8" x14ac:dyDescent="0.2">
      <c r="A8" s="14" t="s">
        <v>16</v>
      </c>
      <c r="B8" s="14" t="s">
        <v>18</v>
      </c>
    </row>
    <row r="10" spans="1:8" x14ac:dyDescent="0.2">
      <c r="A10" s="14" t="s">
        <v>19</v>
      </c>
      <c r="B10" s="14"/>
    </row>
    <row r="11" spans="1:8" x14ac:dyDescent="0.2">
      <c r="A11" s="14" t="s">
        <v>17</v>
      </c>
      <c r="B11" s="14" t="s">
        <v>16</v>
      </c>
      <c r="C11" s="17" t="s">
        <v>20</v>
      </c>
      <c r="D11" s="1" t="s">
        <v>21</v>
      </c>
      <c r="E11" s="1" t="s">
        <v>22</v>
      </c>
      <c r="F11" t="s">
        <v>23</v>
      </c>
    </row>
    <row r="12" spans="1:8" x14ac:dyDescent="0.2">
      <c r="A12" s="15">
        <v>42792</v>
      </c>
      <c r="B12" s="16">
        <v>3.8842857142857143</v>
      </c>
      <c r="C12" s="19">
        <v>1.0568</v>
      </c>
      <c r="D12" s="1">
        <f>1/C12</f>
        <v>0.94625283875851629</v>
      </c>
      <c r="E12" s="1">
        <f>B12*D12</f>
        <v>3.6755163836920084</v>
      </c>
    </row>
    <row r="13" spans="1:8" x14ac:dyDescent="0.2">
      <c r="A13" s="15">
        <v>42799</v>
      </c>
      <c r="B13" s="16">
        <v>3.9642857142857144</v>
      </c>
      <c r="C13" s="19">
        <v>1.0574399999999999</v>
      </c>
      <c r="D13" s="18">
        <f t="shared" ref="D13:D76" si="0">1/C13</f>
        <v>0.9456801331517628</v>
      </c>
      <c r="E13" s="18">
        <f t="shared" ref="E13:E76" si="1">B13*D13</f>
        <v>3.7489462421373454</v>
      </c>
    </row>
    <row r="14" spans="1:8" x14ac:dyDescent="0.2">
      <c r="A14" s="15">
        <v>42806</v>
      </c>
      <c r="B14" s="16">
        <v>3.9185714285714286</v>
      </c>
      <c r="C14" s="19">
        <v>1.0593600000000001</v>
      </c>
      <c r="D14" s="18">
        <f t="shared" si="0"/>
        <v>0.94396616825252977</v>
      </c>
      <c r="E14" s="18">
        <f t="shared" si="1"/>
        <v>3.698998856452413</v>
      </c>
    </row>
    <row r="15" spans="1:8" x14ac:dyDescent="0.2">
      <c r="A15" s="15">
        <v>42813</v>
      </c>
      <c r="B15" s="16">
        <v>4.1857142857142859</v>
      </c>
      <c r="C15" s="19">
        <v>1.0685</v>
      </c>
      <c r="D15" s="18">
        <f t="shared" si="0"/>
        <v>0.93589143659335516</v>
      </c>
      <c r="E15" s="18">
        <f t="shared" si="1"/>
        <v>3.9173741560264723</v>
      </c>
    </row>
    <row r="16" spans="1:8" x14ac:dyDescent="0.2">
      <c r="A16" s="15">
        <v>42820</v>
      </c>
      <c r="B16" s="16">
        <v>4.0614285714285714</v>
      </c>
      <c r="C16" s="19">
        <v>1.07914</v>
      </c>
      <c r="D16" s="18">
        <f t="shared" si="0"/>
        <v>0.92666382489760368</v>
      </c>
      <c r="E16" s="18">
        <f t="shared" si="1"/>
        <v>3.7635789345484105</v>
      </c>
      <c r="F16" s="18">
        <f>(E16/E12-1)*100</f>
        <v>2.3959232299202604</v>
      </c>
      <c r="G16" s="18">
        <f t="shared" ref="G16:G79" si="2">G$272</f>
        <v>-11.6500096034351</v>
      </c>
      <c r="H16" s="18">
        <f t="shared" ref="H16:H79" si="3">H$272</f>
        <v>36.38399878177637</v>
      </c>
    </row>
    <row r="17" spans="1:8" x14ac:dyDescent="0.2">
      <c r="A17" s="15">
        <v>42827</v>
      </c>
      <c r="B17" s="16">
        <v>6.2385714285714284</v>
      </c>
      <c r="C17" s="19">
        <v>1.0782799999999999</v>
      </c>
      <c r="D17" s="18">
        <f t="shared" si="0"/>
        <v>0.9274029009162742</v>
      </c>
      <c r="E17" s="18">
        <f t="shared" si="1"/>
        <v>5.7856692404305274</v>
      </c>
      <c r="F17" s="18">
        <f t="shared" ref="F17:F80" si="4">(E17/E13-1)*100</f>
        <v>54.327879535877457</v>
      </c>
      <c r="G17" s="18">
        <f t="shared" si="2"/>
        <v>-11.6500096034351</v>
      </c>
      <c r="H17" s="18">
        <f t="shared" si="3"/>
        <v>36.38399878177637</v>
      </c>
    </row>
    <row r="18" spans="1:8" x14ac:dyDescent="0.2">
      <c r="A18" s="15">
        <v>42834</v>
      </c>
      <c r="B18" s="16">
        <v>10.224285714285715</v>
      </c>
      <c r="C18" s="19">
        <v>1.06494</v>
      </c>
      <c r="D18" s="18">
        <f t="shared" si="0"/>
        <v>0.93902003868762562</v>
      </c>
      <c r="E18" s="18">
        <f t="shared" si="1"/>
        <v>9.6008091669819109</v>
      </c>
      <c r="F18" s="18">
        <f t="shared" si="4"/>
        <v>159.55155812591215</v>
      </c>
      <c r="G18" s="18">
        <f t="shared" si="2"/>
        <v>-11.6500096034351</v>
      </c>
      <c r="H18" s="18">
        <f t="shared" si="3"/>
        <v>36.38399878177637</v>
      </c>
    </row>
    <row r="19" spans="1:8" x14ac:dyDescent="0.2">
      <c r="A19" s="15">
        <v>42841</v>
      </c>
      <c r="B19" s="16">
        <v>11.045714285714286</v>
      </c>
      <c r="C19" s="19">
        <v>1.06172</v>
      </c>
      <c r="D19" s="18">
        <f t="shared" si="0"/>
        <v>0.94186791244395884</v>
      </c>
      <c r="E19" s="18">
        <f t="shared" si="1"/>
        <v>10.40360385573813</v>
      </c>
      <c r="F19" s="18">
        <f t="shared" si="4"/>
        <v>165.57595576448239</v>
      </c>
      <c r="G19" s="18">
        <f t="shared" si="2"/>
        <v>-11.6500096034351</v>
      </c>
      <c r="H19" s="18">
        <f t="shared" si="3"/>
        <v>36.38399878177637</v>
      </c>
    </row>
    <row r="20" spans="1:8" x14ac:dyDescent="0.2">
      <c r="A20" s="15">
        <v>42848</v>
      </c>
      <c r="B20" s="16">
        <v>12.164285714285715</v>
      </c>
      <c r="C20" s="19">
        <v>1.0705</v>
      </c>
      <c r="D20" s="18">
        <f t="shared" si="0"/>
        <v>0.93414292386735165</v>
      </c>
      <c r="E20" s="18">
        <f t="shared" si="1"/>
        <v>11.363181423900713</v>
      </c>
      <c r="F20" s="18">
        <f t="shared" si="4"/>
        <v>201.92488643164791</v>
      </c>
      <c r="G20" s="18">
        <f t="shared" si="2"/>
        <v>-11.6500096034351</v>
      </c>
      <c r="H20" s="18">
        <f t="shared" si="3"/>
        <v>36.38399878177637</v>
      </c>
    </row>
    <row r="21" spans="1:8" x14ac:dyDescent="0.2">
      <c r="A21" s="15">
        <v>42855</v>
      </c>
      <c r="B21" s="16">
        <v>15.422857142857143</v>
      </c>
      <c r="C21" s="19">
        <v>1.08836</v>
      </c>
      <c r="D21" s="18">
        <f t="shared" si="0"/>
        <v>0.91881362784372822</v>
      </c>
      <c r="E21" s="18">
        <f t="shared" si="1"/>
        <v>14.170731323144128</v>
      </c>
      <c r="F21" s="18">
        <f t="shared" si="4"/>
        <v>144.92812731357668</v>
      </c>
      <c r="G21" s="18">
        <f t="shared" si="2"/>
        <v>-11.6500096034351</v>
      </c>
      <c r="H21" s="18">
        <f t="shared" si="3"/>
        <v>36.38399878177637</v>
      </c>
    </row>
    <row r="22" spans="1:8" x14ac:dyDescent="0.2">
      <c r="A22" s="15">
        <v>42862</v>
      </c>
      <c r="B22" s="16">
        <v>23.465714285714284</v>
      </c>
      <c r="C22" s="19">
        <v>1.0941000000000001</v>
      </c>
      <c r="D22" s="18">
        <f t="shared" si="0"/>
        <v>0.91399323645005026</v>
      </c>
      <c r="E22" s="18">
        <f t="shared" si="1"/>
        <v>21.447504145612179</v>
      </c>
      <c r="F22" s="18">
        <f t="shared" si="4"/>
        <v>123.39267214447061</v>
      </c>
      <c r="G22" s="18">
        <f t="shared" si="2"/>
        <v>-11.6500096034351</v>
      </c>
      <c r="H22" s="18">
        <f t="shared" si="3"/>
        <v>36.38399878177637</v>
      </c>
    </row>
    <row r="23" spans="1:8" x14ac:dyDescent="0.2">
      <c r="A23" s="15">
        <v>42869</v>
      </c>
      <c r="B23" s="16">
        <v>30.11</v>
      </c>
      <c r="C23" s="19">
        <v>1.0894200000000001</v>
      </c>
      <c r="D23" s="18">
        <f t="shared" si="0"/>
        <v>0.91791962695746354</v>
      </c>
      <c r="E23" s="18">
        <f t="shared" si="1"/>
        <v>27.638559967689226</v>
      </c>
      <c r="F23" s="18">
        <f t="shared" si="4"/>
        <v>165.66332542972711</v>
      </c>
      <c r="G23" s="18">
        <f t="shared" si="2"/>
        <v>-11.6500096034351</v>
      </c>
      <c r="H23" s="18">
        <f t="shared" si="3"/>
        <v>36.38399878177637</v>
      </c>
    </row>
    <row r="24" spans="1:8" x14ac:dyDescent="0.2">
      <c r="A24" s="15">
        <v>42876</v>
      </c>
      <c r="B24" s="16">
        <v>26.271428571428572</v>
      </c>
      <c r="C24" s="19">
        <v>1.1101000000000001</v>
      </c>
      <c r="D24" s="18">
        <f t="shared" si="0"/>
        <v>0.90081974596883152</v>
      </c>
      <c r="E24" s="18">
        <f t="shared" si="1"/>
        <v>23.665821611952587</v>
      </c>
      <c r="F24" s="18">
        <f t="shared" si="4"/>
        <v>108.26756811411245</v>
      </c>
      <c r="G24" s="18">
        <f t="shared" si="2"/>
        <v>-11.6500096034351</v>
      </c>
      <c r="H24" s="18">
        <f t="shared" si="3"/>
        <v>36.38399878177637</v>
      </c>
    </row>
    <row r="25" spans="1:8" x14ac:dyDescent="0.2">
      <c r="A25" s="15">
        <v>42883</v>
      </c>
      <c r="B25" s="16">
        <v>27.697142857142858</v>
      </c>
      <c r="C25" s="19">
        <v>1.1199399999999999</v>
      </c>
      <c r="D25" s="18">
        <f t="shared" si="0"/>
        <v>0.89290497705234217</v>
      </c>
      <c r="E25" s="18">
        <f t="shared" si="1"/>
        <v>24.730916707272588</v>
      </c>
      <c r="F25" s="18">
        <f t="shared" si="4"/>
        <v>74.52110369830524</v>
      </c>
      <c r="G25" s="18">
        <f t="shared" si="2"/>
        <v>-11.6500096034351</v>
      </c>
      <c r="H25" s="18">
        <f t="shared" si="3"/>
        <v>36.38399878177637</v>
      </c>
    </row>
    <row r="26" spans="1:8" x14ac:dyDescent="0.2">
      <c r="A26" s="15">
        <v>42890</v>
      </c>
      <c r="B26" s="16">
        <v>26.667142857142856</v>
      </c>
      <c r="C26" s="19">
        <v>1.1225750000000001</v>
      </c>
      <c r="D26" s="18">
        <f t="shared" si="0"/>
        <v>0.8908090773444981</v>
      </c>
      <c r="E26" s="18">
        <f t="shared" si="1"/>
        <v>23.75533292398535</v>
      </c>
      <c r="F26" s="18">
        <f t="shared" si="4"/>
        <v>10.760360565522099</v>
      </c>
      <c r="G26" s="18">
        <f t="shared" si="2"/>
        <v>-11.6500096034351</v>
      </c>
      <c r="H26" s="18">
        <f t="shared" si="3"/>
        <v>36.38399878177637</v>
      </c>
    </row>
    <row r="27" spans="1:8" x14ac:dyDescent="0.2">
      <c r="A27" s="15">
        <v>42897</v>
      </c>
      <c r="B27" s="16">
        <v>30.458571428571428</v>
      </c>
      <c r="C27" s="19">
        <v>1.1231800000000001</v>
      </c>
      <c r="D27" s="18">
        <f t="shared" si="0"/>
        <v>0.8903292437543403</v>
      </c>
      <c r="E27" s="18">
        <f t="shared" si="1"/>
        <v>27.118156865837555</v>
      </c>
      <c r="F27" s="18">
        <f t="shared" si="4"/>
        <v>-1.8828879017577127</v>
      </c>
      <c r="G27" s="18">
        <f t="shared" si="2"/>
        <v>-11.6500096034351</v>
      </c>
      <c r="H27" s="18">
        <f t="shared" si="3"/>
        <v>36.38399878177637</v>
      </c>
    </row>
    <row r="28" spans="1:8" x14ac:dyDescent="0.2">
      <c r="A28" s="15">
        <v>42904</v>
      </c>
      <c r="B28" s="16">
        <v>34.388571428571431</v>
      </c>
      <c r="C28" s="19">
        <v>1.12042</v>
      </c>
      <c r="D28" s="18">
        <f t="shared" si="0"/>
        <v>0.89252244693954053</v>
      </c>
      <c r="E28" s="18">
        <f t="shared" si="1"/>
        <v>30.692571918183745</v>
      </c>
      <c r="F28" s="18">
        <f t="shared" si="4"/>
        <v>29.691554434274316</v>
      </c>
      <c r="G28" s="18">
        <f t="shared" si="2"/>
        <v>-11.6500096034351</v>
      </c>
      <c r="H28" s="18">
        <f t="shared" si="3"/>
        <v>36.38399878177637</v>
      </c>
    </row>
    <row r="29" spans="1:8" x14ac:dyDescent="0.2">
      <c r="A29" s="15">
        <v>42911</v>
      </c>
      <c r="B29" s="16">
        <v>44.731428571428573</v>
      </c>
      <c r="C29" s="19">
        <v>1.1154200000000001</v>
      </c>
      <c r="D29" s="18">
        <f t="shared" si="0"/>
        <v>0.89652328270965187</v>
      </c>
      <c r="E29" s="18">
        <f t="shared" si="1"/>
        <v>40.10276718314946</v>
      </c>
      <c r="F29" s="18">
        <f t="shared" si="4"/>
        <v>62.156411983533523</v>
      </c>
      <c r="G29" s="18">
        <f t="shared" si="2"/>
        <v>-11.6500096034351</v>
      </c>
      <c r="H29" s="18">
        <f t="shared" si="3"/>
        <v>36.38399878177637</v>
      </c>
    </row>
    <row r="30" spans="1:8" x14ac:dyDescent="0.2">
      <c r="A30" s="15">
        <v>42918</v>
      </c>
      <c r="B30" s="16">
        <v>40.042857142857144</v>
      </c>
      <c r="C30" s="19">
        <v>1.1338200000000001</v>
      </c>
      <c r="D30" s="18">
        <f t="shared" si="0"/>
        <v>0.88197421107406815</v>
      </c>
      <c r="E30" s="18">
        <f t="shared" si="1"/>
        <v>35.316767337723043</v>
      </c>
      <c r="F30" s="18">
        <f t="shared" si="4"/>
        <v>48.668795553121093</v>
      </c>
      <c r="G30" s="18">
        <f t="shared" si="2"/>
        <v>-11.6500096034351</v>
      </c>
      <c r="H30" s="18">
        <f t="shared" si="3"/>
        <v>36.38399878177637</v>
      </c>
    </row>
    <row r="31" spans="1:8" x14ac:dyDescent="0.2">
      <c r="A31" s="15">
        <v>42925</v>
      </c>
      <c r="B31" s="16">
        <v>50.177142857142854</v>
      </c>
      <c r="C31" s="19">
        <v>1.1376999999999999</v>
      </c>
      <c r="D31" s="18">
        <f t="shared" si="0"/>
        <v>0.878966335589347</v>
      </c>
      <c r="E31" s="18">
        <f t="shared" si="1"/>
        <v>44.104019387486034</v>
      </c>
      <c r="F31" s="18">
        <f t="shared" si="4"/>
        <v>62.636493349024903</v>
      </c>
      <c r="G31" s="18">
        <f t="shared" si="2"/>
        <v>-11.6500096034351</v>
      </c>
      <c r="H31" s="18">
        <f t="shared" si="3"/>
        <v>36.38399878177637</v>
      </c>
    </row>
    <row r="32" spans="1:8" x14ac:dyDescent="0.2">
      <c r="A32" s="15">
        <v>42932</v>
      </c>
      <c r="B32" s="16">
        <v>43.255714285714284</v>
      </c>
      <c r="C32" s="19">
        <v>1.1414800000000001</v>
      </c>
      <c r="D32" s="18">
        <f t="shared" si="0"/>
        <v>0.87605564705470085</v>
      </c>
      <c r="E32" s="18">
        <f t="shared" si="1"/>
        <v>37.894412767384694</v>
      </c>
      <c r="F32" s="18">
        <f t="shared" si="4"/>
        <v>23.464442368657391</v>
      </c>
      <c r="G32" s="18">
        <f t="shared" si="2"/>
        <v>-11.6500096034351</v>
      </c>
      <c r="H32" s="18">
        <f t="shared" si="3"/>
        <v>36.38399878177637</v>
      </c>
    </row>
    <row r="33" spans="1:8" x14ac:dyDescent="0.2">
      <c r="A33" s="15">
        <v>42939</v>
      </c>
      <c r="B33" s="16">
        <v>44.014285714285712</v>
      </c>
      <c r="C33" s="19">
        <v>1.1571</v>
      </c>
      <c r="D33" s="18">
        <f t="shared" si="0"/>
        <v>0.8642295393656555</v>
      </c>
      <c r="E33" s="18">
        <f t="shared" si="1"/>
        <v>38.038445868365493</v>
      </c>
      <c r="F33" s="18">
        <f t="shared" si="4"/>
        <v>-5.1475782340809744</v>
      </c>
      <c r="G33" s="18">
        <f t="shared" si="2"/>
        <v>-11.6500096034351</v>
      </c>
      <c r="H33" s="18">
        <f t="shared" si="3"/>
        <v>36.38399878177637</v>
      </c>
    </row>
    <row r="34" spans="1:8" x14ac:dyDescent="0.2">
      <c r="A34" s="15">
        <v>42946</v>
      </c>
      <c r="B34" s="16">
        <v>41.894285714285715</v>
      </c>
      <c r="C34" s="19">
        <v>1.1668000000000001</v>
      </c>
      <c r="D34" s="18">
        <f t="shared" si="0"/>
        <v>0.85704490915323961</v>
      </c>
      <c r="E34" s="18">
        <f t="shared" si="1"/>
        <v>35.905284294039866</v>
      </c>
      <c r="F34" s="18">
        <f t="shared" si="4"/>
        <v>1.6663953149760991</v>
      </c>
      <c r="G34" s="18">
        <f t="shared" si="2"/>
        <v>-11.6500096034351</v>
      </c>
      <c r="H34" s="18">
        <f t="shared" si="3"/>
        <v>36.38399878177637</v>
      </c>
    </row>
    <row r="35" spans="1:8" x14ac:dyDescent="0.2">
      <c r="A35" s="15">
        <v>42953</v>
      </c>
      <c r="B35" s="16">
        <v>43.43</v>
      </c>
      <c r="C35" s="19">
        <v>1.1823999999999999</v>
      </c>
      <c r="D35" s="18">
        <f t="shared" si="0"/>
        <v>0.84573748308525043</v>
      </c>
      <c r="E35" s="18">
        <f t="shared" si="1"/>
        <v>36.730378890392423</v>
      </c>
      <c r="F35" s="18">
        <f t="shared" si="4"/>
        <v>-16.718749446191715</v>
      </c>
      <c r="G35" s="18">
        <f t="shared" si="2"/>
        <v>-11.6500096034351</v>
      </c>
      <c r="H35" s="18">
        <f t="shared" si="3"/>
        <v>36.38399878177637</v>
      </c>
    </row>
    <row r="36" spans="1:8" x14ac:dyDescent="0.2">
      <c r="A36" s="15">
        <v>42960</v>
      </c>
      <c r="B36" s="16">
        <v>46.938571428571429</v>
      </c>
      <c r="C36" s="19">
        <v>1.1764399999999999</v>
      </c>
      <c r="D36" s="18">
        <f t="shared" si="0"/>
        <v>0.85002210057461502</v>
      </c>
      <c r="E36" s="18">
        <f t="shared" si="1"/>
        <v>39.898823083685897</v>
      </c>
      <c r="F36" s="18">
        <f t="shared" si="4"/>
        <v>5.2894613477857622</v>
      </c>
      <c r="G36" s="18">
        <f t="shared" si="2"/>
        <v>-11.6500096034351</v>
      </c>
      <c r="H36" s="18">
        <f t="shared" si="3"/>
        <v>36.38399878177637</v>
      </c>
    </row>
    <row r="37" spans="1:8" x14ac:dyDescent="0.2">
      <c r="A37" s="15">
        <v>42967</v>
      </c>
      <c r="B37" s="16">
        <v>44.83</v>
      </c>
      <c r="C37" s="19">
        <v>1.17418</v>
      </c>
      <c r="D37" s="18">
        <f t="shared" si="0"/>
        <v>0.8516581784734879</v>
      </c>
      <c r="E37" s="18">
        <f t="shared" si="1"/>
        <v>38.179836140966458</v>
      </c>
      <c r="F37" s="18">
        <f t="shared" si="4"/>
        <v>0.37170359980072121</v>
      </c>
      <c r="G37" s="18">
        <f t="shared" si="2"/>
        <v>-11.6500096034351</v>
      </c>
      <c r="H37" s="18">
        <f t="shared" si="3"/>
        <v>36.38399878177637</v>
      </c>
    </row>
    <row r="38" spans="1:8" x14ac:dyDescent="0.2">
      <c r="A38" s="15">
        <v>42974</v>
      </c>
      <c r="B38" s="16">
        <v>51.862857142857145</v>
      </c>
      <c r="C38" s="19">
        <v>1.18106</v>
      </c>
      <c r="D38" s="18">
        <f t="shared" si="0"/>
        <v>0.84669703486698389</v>
      </c>
      <c r="E38" s="18">
        <f t="shared" si="1"/>
        <v>43.912127362587121</v>
      </c>
      <c r="F38" s="18">
        <f t="shared" si="4"/>
        <v>22.299901604946658</v>
      </c>
      <c r="G38" s="18">
        <f t="shared" si="2"/>
        <v>-11.6500096034351</v>
      </c>
      <c r="H38" s="18">
        <f t="shared" si="3"/>
        <v>36.38399878177637</v>
      </c>
    </row>
    <row r="39" spans="1:8" x14ac:dyDescent="0.2">
      <c r="A39" s="15">
        <v>42981</v>
      </c>
      <c r="B39" s="16">
        <v>73.418571428571425</v>
      </c>
      <c r="C39" s="19">
        <v>1.19394</v>
      </c>
      <c r="D39" s="18">
        <f t="shared" si="0"/>
        <v>0.83756302661775295</v>
      </c>
      <c r="E39" s="18">
        <f t="shared" si="1"/>
        <v>61.492680895665963</v>
      </c>
      <c r="F39" s="18">
        <f t="shared" si="4"/>
        <v>67.416407761997306</v>
      </c>
      <c r="G39" s="18">
        <f t="shared" si="2"/>
        <v>-11.6500096034351</v>
      </c>
      <c r="H39" s="18">
        <f t="shared" si="3"/>
        <v>36.38399878177637</v>
      </c>
    </row>
    <row r="40" spans="1:8" x14ac:dyDescent="0.2">
      <c r="A40" s="15">
        <v>42988</v>
      </c>
      <c r="B40" s="16">
        <v>74.227142857142852</v>
      </c>
      <c r="C40" s="19">
        <v>1.198075</v>
      </c>
      <c r="D40" s="18">
        <f t="shared" si="0"/>
        <v>0.83467228679339778</v>
      </c>
      <c r="E40" s="18">
        <f t="shared" si="1"/>
        <v>61.955339070711645</v>
      </c>
      <c r="F40" s="18">
        <f t="shared" si="4"/>
        <v>55.281119297086143</v>
      </c>
      <c r="G40" s="18">
        <f t="shared" si="2"/>
        <v>-11.6500096034351</v>
      </c>
      <c r="H40" s="18">
        <f t="shared" si="3"/>
        <v>36.38399878177637</v>
      </c>
    </row>
    <row r="41" spans="1:8" x14ac:dyDescent="0.2">
      <c r="A41" s="15">
        <v>42995</v>
      </c>
      <c r="B41" s="16">
        <v>56.804285714285712</v>
      </c>
      <c r="C41" s="19">
        <v>1.1935</v>
      </c>
      <c r="D41" s="18">
        <f t="shared" si="0"/>
        <v>0.83787180561374108</v>
      </c>
      <c r="E41" s="18">
        <f t="shared" si="1"/>
        <v>47.594709438027408</v>
      </c>
      <c r="F41" s="18">
        <f t="shared" si="4"/>
        <v>24.659281570249902</v>
      </c>
      <c r="G41" s="18">
        <f t="shared" si="2"/>
        <v>-11.6500096034351</v>
      </c>
      <c r="H41" s="18">
        <f t="shared" si="3"/>
        <v>36.38399878177637</v>
      </c>
    </row>
    <row r="42" spans="1:8" x14ac:dyDescent="0.2">
      <c r="A42" s="15">
        <v>43002</v>
      </c>
      <c r="B42" s="16">
        <v>50.335714285714289</v>
      </c>
      <c r="C42" s="19">
        <v>1.19662</v>
      </c>
      <c r="D42" s="18">
        <f t="shared" si="0"/>
        <v>0.83568718557269639</v>
      </c>
      <c r="E42" s="18">
        <f t="shared" si="1"/>
        <v>42.064911405219945</v>
      </c>
      <c r="F42" s="18">
        <f t="shared" si="4"/>
        <v>-4.2066191467211684</v>
      </c>
      <c r="G42" s="18">
        <f t="shared" si="2"/>
        <v>-11.6500096034351</v>
      </c>
      <c r="H42" s="18">
        <f t="shared" si="3"/>
        <v>36.38399878177637</v>
      </c>
    </row>
    <row r="43" spans="1:8" x14ac:dyDescent="0.2">
      <c r="A43" s="15">
        <v>43009</v>
      </c>
      <c r="B43" s="16">
        <v>54.125714285714288</v>
      </c>
      <c r="C43" s="19">
        <v>1.1792</v>
      </c>
      <c r="D43" s="18">
        <f t="shared" si="0"/>
        <v>0.84803256445047492</v>
      </c>
      <c r="E43" s="18">
        <f t="shared" si="1"/>
        <v>45.900368288427991</v>
      </c>
      <c r="F43" s="18">
        <f t="shared" si="4"/>
        <v>-25.356371490280772</v>
      </c>
      <c r="G43" s="18">
        <f t="shared" si="2"/>
        <v>-11.6500096034351</v>
      </c>
      <c r="H43" s="18">
        <f t="shared" si="3"/>
        <v>36.38399878177637</v>
      </c>
    </row>
    <row r="44" spans="1:8" x14ac:dyDescent="0.2">
      <c r="A44" s="15">
        <v>43016</v>
      </c>
      <c r="B44" s="16">
        <v>52.33</v>
      </c>
      <c r="C44" s="19">
        <v>1.17404</v>
      </c>
      <c r="D44" s="18">
        <f t="shared" si="0"/>
        <v>0.85175973561377805</v>
      </c>
      <c r="E44" s="18">
        <f t="shared" si="1"/>
        <v>44.572586964669007</v>
      </c>
      <c r="F44" s="18">
        <f t="shared" si="4"/>
        <v>-28.056907389697507</v>
      </c>
      <c r="G44" s="18">
        <f t="shared" si="2"/>
        <v>-11.6500096034351</v>
      </c>
      <c r="H44" s="18">
        <f t="shared" si="3"/>
        <v>36.38399878177637</v>
      </c>
    </row>
    <row r="45" spans="1:8" x14ac:dyDescent="0.2">
      <c r="A45" s="15">
        <v>43023</v>
      </c>
      <c r="B45" s="16">
        <v>57.025714285714287</v>
      </c>
      <c r="C45" s="19">
        <v>1.1832</v>
      </c>
      <c r="D45" s="18">
        <f t="shared" si="0"/>
        <v>0.84516565246788367</v>
      </c>
      <c r="E45" s="18">
        <f t="shared" si="1"/>
        <v>48.196175021732827</v>
      </c>
      <c r="F45" s="18">
        <f t="shared" si="4"/>
        <v>1.2637236171986421</v>
      </c>
      <c r="G45" s="18">
        <f t="shared" si="2"/>
        <v>-11.6500096034351</v>
      </c>
      <c r="H45" s="18">
        <f t="shared" si="3"/>
        <v>36.38399878177637</v>
      </c>
    </row>
    <row r="46" spans="1:8" x14ac:dyDescent="0.2">
      <c r="A46" s="15">
        <v>43030</v>
      </c>
      <c r="B46" s="16">
        <v>59.918571428571425</v>
      </c>
      <c r="C46" s="19">
        <v>1.17902</v>
      </c>
      <c r="D46" s="18">
        <f t="shared" si="0"/>
        <v>0.84816203287476044</v>
      </c>
      <c r="E46" s="18">
        <f t="shared" si="1"/>
        <v>50.820657349808677</v>
      </c>
      <c r="F46" s="18">
        <f t="shared" si="4"/>
        <v>20.814844610613427</v>
      </c>
      <c r="G46" s="18">
        <f t="shared" si="2"/>
        <v>-11.6500096034351</v>
      </c>
      <c r="H46" s="18">
        <f t="shared" si="3"/>
        <v>36.38399878177637</v>
      </c>
    </row>
    <row r="47" spans="1:8" x14ac:dyDescent="0.2">
      <c r="A47" s="15">
        <v>43037</v>
      </c>
      <c r="B47" s="16">
        <v>55.52</v>
      </c>
      <c r="C47" s="19">
        <v>1.1721999999999999</v>
      </c>
      <c r="D47" s="18">
        <f t="shared" si="0"/>
        <v>0.85309674117044876</v>
      </c>
      <c r="E47" s="18">
        <f t="shared" si="1"/>
        <v>47.36393106978332</v>
      </c>
      <c r="F47" s="18">
        <f t="shared" si="4"/>
        <v>3.1885643534679708</v>
      </c>
      <c r="G47" s="18">
        <f t="shared" si="2"/>
        <v>-11.6500096034351</v>
      </c>
      <c r="H47" s="18">
        <f t="shared" si="3"/>
        <v>36.38399878177637</v>
      </c>
    </row>
    <row r="48" spans="1:8" x14ac:dyDescent="0.2">
      <c r="A48" s="15">
        <v>43044</v>
      </c>
      <c r="B48" s="16">
        <v>55.021428571428572</v>
      </c>
      <c r="C48" s="19">
        <v>1.1636</v>
      </c>
      <c r="D48" s="18">
        <f t="shared" si="0"/>
        <v>0.85940185630800969</v>
      </c>
      <c r="E48" s="18">
        <f t="shared" si="1"/>
        <v>47.285517851004279</v>
      </c>
      <c r="F48" s="18">
        <f t="shared" si="4"/>
        <v>6.0865457248099775</v>
      </c>
      <c r="G48" s="18">
        <f t="shared" si="2"/>
        <v>-11.6500096034351</v>
      </c>
      <c r="H48" s="18">
        <f t="shared" si="3"/>
        <v>36.38399878177637</v>
      </c>
    </row>
    <row r="49" spans="1:9" x14ac:dyDescent="0.2">
      <c r="A49" s="15">
        <v>43051</v>
      </c>
      <c r="B49" s="16">
        <v>60.384285714285717</v>
      </c>
      <c r="C49" s="19">
        <v>1.1604000000000001</v>
      </c>
      <c r="D49" s="18">
        <f t="shared" si="0"/>
        <v>0.86177180282661148</v>
      </c>
      <c r="E49" s="18">
        <f t="shared" si="1"/>
        <v>52.037474762397203</v>
      </c>
      <c r="F49" s="18">
        <f t="shared" si="4"/>
        <v>7.9701340177560587</v>
      </c>
      <c r="G49" s="18">
        <f t="shared" si="2"/>
        <v>-11.6500096034351</v>
      </c>
      <c r="H49" s="18">
        <f t="shared" si="3"/>
        <v>36.38399878177637</v>
      </c>
    </row>
    <row r="50" spans="1:9" x14ac:dyDescent="0.2">
      <c r="A50" s="15">
        <v>43058</v>
      </c>
      <c r="B50" s="16">
        <v>66.568571428571431</v>
      </c>
      <c r="C50" s="19">
        <v>1.1757</v>
      </c>
      <c r="D50" s="18">
        <f t="shared" si="0"/>
        <v>0.8505571149102662</v>
      </c>
      <c r="E50" s="18">
        <f t="shared" si="1"/>
        <v>56.620372057983694</v>
      </c>
      <c r="F50" s="18">
        <f t="shared" si="4"/>
        <v>11.412120603349196</v>
      </c>
      <c r="G50" s="18">
        <f t="shared" si="2"/>
        <v>-11.6500096034351</v>
      </c>
      <c r="H50" s="18">
        <f t="shared" si="3"/>
        <v>36.38399878177637</v>
      </c>
    </row>
    <row r="51" spans="1:9" x14ac:dyDescent="0.2">
      <c r="A51" s="15">
        <v>43065</v>
      </c>
      <c r="B51" s="16">
        <v>77.36</v>
      </c>
      <c r="C51" s="19">
        <v>1.180175</v>
      </c>
      <c r="D51" s="18">
        <f t="shared" si="0"/>
        <v>0.8473319634799924</v>
      </c>
      <c r="E51" s="18">
        <f t="shared" si="1"/>
        <v>65.549600694812213</v>
      </c>
      <c r="F51" s="18">
        <f t="shared" si="4"/>
        <v>38.395608671575765</v>
      </c>
      <c r="G51" s="18">
        <f t="shared" si="2"/>
        <v>-11.6500096034351</v>
      </c>
      <c r="H51" s="18">
        <f t="shared" si="3"/>
        <v>36.38399878177637</v>
      </c>
    </row>
    <row r="52" spans="1:9" x14ac:dyDescent="0.2">
      <c r="A52" s="15">
        <v>43072</v>
      </c>
      <c r="B52" s="16">
        <v>94.2</v>
      </c>
      <c r="C52" s="19">
        <v>1.1891</v>
      </c>
      <c r="D52" s="18">
        <f t="shared" si="0"/>
        <v>0.84097216382137752</v>
      </c>
      <c r="E52" s="18">
        <f t="shared" si="1"/>
        <v>79.219577831973766</v>
      </c>
      <c r="F52" s="18">
        <f t="shared" si="4"/>
        <v>67.53454637335912</v>
      </c>
      <c r="G52" s="18">
        <f t="shared" si="2"/>
        <v>-11.6500096034351</v>
      </c>
      <c r="H52" s="18">
        <f t="shared" si="3"/>
        <v>36.38399878177637</v>
      </c>
    </row>
    <row r="53" spans="1:9" x14ac:dyDescent="0.2">
      <c r="A53" s="15">
        <v>43079</v>
      </c>
      <c r="B53" s="16">
        <v>120.59428571428572</v>
      </c>
      <c r="C53" s="19">
        <v>1.18014</v>
      </c>
      <c r="D53" s="18">
        <f t="shared" si="0"/>
        <v>0.84735709322622743</v>
      </c>
      <c r="E53" s="18">
        <f t="shared" si="1"/>
        <v>102.1864234025503</v>
      </c>
      <c r="F53" s="18">
        <f t="shared" si="4"/>
        <v>96.370834421026188</v>
      </c>
      <c r="G53" s="18">
        <f t="shared" si="2"/>
        <v>-11.6500096034351</v>
      </c>
      <c r="H53" s="18">
        <f t="shared" si="3"/>
        <v>36.38399878177637</v>
      </c>
    </row>
    <row r="54" spans="1:9" x14ac:dyDescent="0.2">
      <c r="A54" s="15">
        <v>43086</v>
      </c>
      <c r="B54" s="16">
        <v>300.39571428571429</v>
      </c>
      <c r="C54" s="19">
        <v>1.1769000000000001</v>
      </c>
      <c r="D54" s="18">
        <f t="shared" si="0"/>
        <v>0.84968986319993201</v>
      </c>
      <c r="E54" s="18">
        <f t="shared" si="1"/>
        <v>255.24319337727442</v>
      </c>
      <c r="F54" s="18">
        <f t="shared" si="4"/>
        <v>350.79744992824385</v>
      </c>
      <c r="G54" s="18">
        <f t="shared" si="2"/>
        <v>-11.6500096034351</v>
      </c>
      <c r="H54" s="18">
        <f t="shared" si="3"/>
        <v>36.38399878177637</v>
      </c>
    </row>
    <row r="55" spans="1:9" x14ac:dyDescent="0.2">
      <c r="A55" s="15">
        <v>43093</v>
      </c>
      <c r="B55" s="16">
        <v>309.46857142857141</v>
      </c>
      <c r="C55" s="19">
        <v>1.1843600000000001</v>
      </c>
      <c r="D55" s="18">
        <f t="shared" si="0"/>
        <v>0.84433787024215601</v>
      </c>
      <c r="E55" s="18">
        <f t="shared" si="1"/>
        <v>261.29603450688251</v>
      </c>
      <c r="F55" s="18">
        <f t="shared" si="4"/>
        <v>298.62338097745612</v>
      </c>
      <c r="G55" s="18">
        <f t="shared" si="2"/>
        <v>-11.6500096034351</v>
      </c>
      <c r="H55" s="18">
        <f t="shared" si="3"/>
        <v>36.38399878177637</v>
      </c>
    </row>
    <row r="56" spans="1:9" x14ac:dyDescent="0.2">
      <c r="A56" s="15">
        <v>43100</v>
      </c>
      <c r="B56" s="16">
        <v>251.17714285714285</v>
      </c>
      <c r="C56" s="19">
        <v>1.1935750000000001</v>
      </c>
      <c r="D56" s="18">
        <f t="shared" si="0"/>
        <v>0.83781915673501872</v>
      </c>
      <c r="E56" s="18">
        <f t="shared" si="1"/>
        <v>210.44102201968275</v>
      </c>
      <c r="F56" s="18">
        <f t="shared" si="4"/>
        <v>165.64269563015364</v>
      </c>
      <c r="G56" s="18">
        <f t="shared" si="2"/>
        <v>-11.6500096034351</v>
      </c>
      <c r="H56" s="18">
        <f t="shared" si="3"/>
        <v>36.38399878177637</v>
      </c>
    </row>
    <row r="57" spans="1:9" x14ac:dyDescent="0.2">
      <c r="A57" s="15">
        <v>43107</v>
      </c>
      <c r="B57" s="16">
        <v>251.44857142857143</v>
      </c>
      <c r="C57" s="19">
        <v>1.204575</v>
      </c>
      <c r="D57" s="18">
        <f t="shared" si="0"/>
        <v>0.83016831662619595</v>
      </c>
      <c r="E57" s="18">
        <f t="shared" si="1"/>
        <v>208.74463726091892</v>
      </c>
      <c r="F57" s="18">
        <f t="shared" si="4"/>
        <v>104.27824980095077</v>
      </c>
      <c r="G57" s="18">
        <f t="shared" si="2"/>
        <v>-11.6500096034351</v>
      </c>
      <c r="H57" s="18">
        <f t="shared" si="3"/>
        <v>36.38399878177637</v>
      </c>
      <c r="I57">
        <v>101.7</v>
      </c>
    </row>
    <row r="58" spans="1:9" x14ac:dyDescent="0.2">
      <c r="A58" s="15">
        <v>43114</v>
      </c>
      <c r="B58" s="16">
        <v>244.17571428571429</v>
      </c>
      <c r="C58" s="19">
        <v>1.2003600000000001</v>
      </c>
      <c r="D58" s="18">
        <f t="shared" si="0"/>
        <v>0.83308340831084005</v>
      </c>
      <c r="E58" s="18">
        <f t="shared" si="1"/>
        <v>203.41873628387674</v>
      </c>
      <c r="F58" s="18">
        <f t="shared" si="4"/>
        <v>-20.30395263735635</v>
      </c>
      <c r="G58" s="18">
        <f t="shared" si="2"/>
        <v>-11.6500096034351</v>
      </c>
      <c r="H58" s="18">
        <f t="shared" si="3"/>
        <v>36.38399878177637</v>
      </c>
      <c r="I58">
        <v>101.7</v>
      </c>
    </row>
    <row r="59" spans="1:9" x14ac:dyDescent="0.2">
      <c r="A59" s="15">
        <v>43121</v>
      </c>
      <c r="B59" s="16">
        <v>199.98571428571429</v>
      </c>
      <c r="C59" s="19">
        <v>1.223725</v>
      </c>
      <c r="D59" s="18">
        <f t="shared" si="0"/>
        <v>0.81717706183987415</v>
      </c>
      <c r="E59" s="18">
        <f t="shared" si="1"/>
        <v>163.42373840994856</v>
      </c>
      <c r="F59" s="18">
        <f t="shared" si="4"/>
        <v>-37.45647969041643</v>
      </c>
      <c r="G59" s="18">
        <f t="shared" si="2"/>
        <v>-11.6500096034351</v>
      </c>
      <c r="H59" s="18">
        <f t="shared" si="3"/>
        <v>36.38399878177637</v>
      </c>
      <c r="I59">
        <v>101.7</v>
      </c>
    </row>
    <row r="60" spans="1:9" x14ac:dyDescent="0.2">
      <c r="A60" s="15">
        <v>43128</v>
      </c>
      <c r="B60" s="16">
        <v>180.51857142857142</v>
      </c>
      <c r="C60" s="19">
        <v>1.23614</v>
      </c>
      <c r="D60" s="18">
        <f t="shared" si="0"/>
        <v>0.80896985778309904</v>
      </c>
      <c r="E60" s="18">
        <f t="shared" si="1"/>
        <v>146.03408305577963</v>
      </c>
      <c r="F60" s="18">
        <f t="shared" si="4"/>
        <v>-30.605695764906081</v>
      </c>
      <c r="G60" s="18">
        <f t="shared" si="2"/>
        <v>-11.6500096034351</v>
      </c>
      <c r="H60" s="18">
        <f t="shared" si="3"/>
        <v>36.38399878177637</v>
      </c>
      <c r="I60">
        <v>101.7</v>
      </c>
    </row>
    <row r="61" spans="1:9" x14ac:dyDescent="0.2">
      <c r="A61" s="15">
        <v>43135</v>
      </c>
      <c r="B61" s="16">
        <v>155.06857142857143</v>
      </c>
      <c r="C61" s="19">
        <v>1.24196</v>
      </c>
      <c r="D61" s="18">
        <f t="shared" si="0"/>
        <v>0.80517891075396952</v>
      </c>
      <c r="E61" s="18">
        <f t="shared" si="1"/>
        <v>124.85794343503126</v>
      </c>
      <c r="F61" s="18">
        <f t="shared" si="4"/>
        <v>-40.186274927405229</v>
      </c>
      <c r="G61" s="18">
        <f t="shared" si="2"/>
        <v>-11.6500096034351</v>
      </c>
      <c r="H61" s="18">
        <f t="shared" si="3"/>
        <v>36.38399878177637</v>
      </c>
      <c r="I61">
        <v>102.2</v>
      </c>
    </row>
    <row r="62" spans="1:9" x14ac:dyDescent="0.2">
      <c r="A62" s="15">
        <v>43142</v>
      </c>
      <c r="B62" s="16">
        <v>145.96</v>
      </c>
      <c r="C62" s="19">
        <v>1.23088</v>
      </c>
      <c r="D62" s="18">
        <f t="shared" si="0"/>
        <v>0.81242688158065779</v>
      </c>
      <c r="E62" s="18">
        <f t="shared" si="1"/>
        <v>118.58182763551282</v>
      </c>
      <c r="F62" s="18">
        <f t="shared" si="4"/>
        <v>-41.705552889666741</v>
      </c>
      <c r="G62" s="18">
        <f t="shared" si="2"/>
        <v>-11.6500096034351</v>
      </c>
      <c r="H62" s="18">
        <f t="shared" si="3"/>
        <v>36.38399878177637</v>
      </c>
      <c r="I62">
        <v>102.2</v>
      </c>
    </row>
    <row r="63" spans="1:9" x14ac:dyDescent="0.2">
      <c r="A63" s="15">
        <v>43149</v>
      </c>
      <c r="B63" s="16">
        <v>203.73142857142858</v>
      </c>
      <c r="C63" s="19">
        <v>1.2390000000000001</v>
      </c>
      <c r="D63" s="18">
        <f t="shared" si="0"/>
        <v>0.80710250201775624</v>
      </c>
      <c r="E63" s="18">
        <f t="shared" si="1"/>
        <v>164.43214573965179</v>
      </c>
      <c r="F63" s="18">
        <f t="shared" si="4"/>
        <v>0.61705070482089841</v>
      </c>
      <c r="G63" s="18">
        <f t="shared" si="2"/>
        <v>-11.6500096034351</v>
      </c>
      <c r="H63" s="18">
        <f t="shared" si="3"/>
        <v>36.38399878177637</v>
      </c>
      <c r="I63">
        <v>102.2</v>
      </c>
    </row>
    <row r="64" spans="1:9" x14ac:dyDescent="0.2">
      <c r="A64" s="15">
        <v>43156</v>
      </c>
      <c r="B64" s="16">
        <v>212.33571428571429</v>
      </c>
      <c r="C64" s="19">
        <v>1.2321500000000001</v>
      </c>
      <c r="D64" s="18">
        <f t="shared" si="0"/>
        <v>0.8115894980318954</v>
      </c>
      <c r="E64" s="18">
        <f t="shared" si="1"/>
        <v>172.32943577138681</v>
      </c>
      <c r="F64" s="18">
        <f t="shared" si="4"/>
        <v>18.006312064535869</v>
      </c>
      <c r="G64" s="18">
        <f t="shared" si="2"/>
        <v>-11.6500096034351</v>
      </c>
      <c r="H64" s="18">
        <f t="shared" si="3"/>
        <v>36.38399878177637</v>
      </c>
      <c r="I64">
        <v>102.2</v>
      </c>
    </row>
    <row r="65" spans="1:9" x14ac:dyDescent="0.2">
      <c r="A65" s="15">
        <v>43163</v>
      </c>
      <c r="B65" s="16">
        <v>211.51142857142858</v>
      </c>
      <c r="C65" s="19">
        <v>1.2255199999999999</v>
      </c>
      <c r="D65" s="18">
        <f t="shared" si="0"/>
        <v>0.81598015536262158</v>
      </c>
      <c r="E65" s="18">
        <f t="shared" si="1"/>
        <v>172.58912834668433</v>
      </c>
      <c r="F65" s="18">
        <f t="shared" si="4"/>
        <v>38.228392682512478</v>
      </c>
      <c r="G65" s="18">
        <f t="shared" si="2"/>
        <v>-11.6500096034351</v>
      </c>
      <c r="H65" s="18">
        <f t="shared" si="3"/>
        <v>36.38399878177637</v>
      </c>
      <c r="I65">
        <v>103</v>
      </c>
    </row>
    <row r="66" spans="1:9" x14ac:dyDescent="0.2">
      <c r="A66" s="15">
        <v>43170</v>
      </c>
      <c r="B66" s="16">
        <v>188.84</v>
      </c>
      <c r="C66" s="19">
        <v>1.2356400000000001</v>
      </c>
      <c r="D66" s="18">
        <f t="shared" si="0"/>
        <v>0.80929720630604374</v>
      </c>
      <c r="E66" s="18">
        <f t="shared" si="1"/>
        <v>152.8276844388333</v>
      </c>
      <c r="F66" s="18">
        <f t="shared" si="4"/>
        <v>28.879515087743979</v>
      </c>
      <c r="G66" s="18">
        <f t="shared" si="2"/>
        <v>-11.6500096034351</v>
      </c>
      <c r="H66" s="18">
        <f t="shared" si="3"/>
        <v>36.38399878177637</v>
      </c>
      <c r="I66">
        <v>103</v>
      </c>
    </row>
    <row r="67" spans="1:9" x14ac:dyDescent="0.2">
      <c r="A67" s="15">
        <v>43177</v>
      </c>
      <c r="B67" s="16">
        <v>164.34571428571428</v>
      </c>
      <c r="C67" s="19">
        <v>1.2335799999999999</v>
      </c>
      <c r="D67" s="18">
        <f t="shared" si="0"/>
        <v>0.81064868107459598</v>
      </c>
      <c r="E67" s="18">
        <f t="shared" si="1"/>
        <v>133.22663652597666</v>
      </c>
      <c r="F67" s="18">
        <f t="shared" si="4"/>
        <v>-18.977742504852635</v>
      </c>
      <c r="G67" s="18">
        <f t="shared" si="2"/>
        <v>-11.6500096034351</v>
      </c>
      <c r="H67" s="18">
        <f t="shared" si="3"/>
        <v>36.38399878177637</v>
      </c>
      <c r="I67">
        <v>103</v>
      </c>
    </row>
    <row r="68" spans="1:9" x14ac:dyDescent="0.2">
      <c r="A68" s="15">
        <v>43184</v>
      </c>
      <c r="B68" s="16">
        <v>164.40714285714284</v>
      </c>
      <c r="C68" s="19">
        <v>1.2307600000000001</v>
      </c>
      <c r="D68" s="18">
        <f t="shared" si="0"/>
        <v>0.81250609379570338</v>
      </c>
      <c r="E68" s="18">
        <f t="shared" si="1"/>
        <v>133.58180543496931</v>
      </c>
      <c r="F68" s="18">
        <f t="shared" si="4"/>
        <v>-22.484626705225409</v>
      </c>
      <c r="G68" s="18">
        <f t="shared" si="2"/>
        <v>-11.6500096034351</v>
      </c>
      <c r="H68" s="18">
        <f t="shared" si="3"/>
        <v>36.38399878177637</v>
      </c>
      <c r="I68">
        <v>103</v>
      </c>
    </row>
    <row r="69" spans="1:9" x14ac:dyDescent="0.2">
      <c r="A69" s="15">
        <v>43191</v>
      </c>
      <c r="B69" s="16">
        <v>125.54285714285714</v>
      </c>
      <c r="C69" s="19">
        <v>1.2363599999999999</v>
      </c>
      <c r="D69" s="18">
        <f t="shared" si="0"/>
        <v>0.80882590831149515</v>
      </c>
      <c r="E69" s="18">
        <f t="shared" si="1"/>
        <v>101.54231546059171</v>
      </c>
      <c r="F69" s="18">
        <f t="shared" si="4"/>
        <v>-41.165288663709468</v>
      </c>
      <c r="G69" s="18">
        <f t="shared" si="2"/>
        <v>-11.6500096034351</v>
      </c>
      <c r="H69" s="18">
        <f t="shared" si="3"/>
        <v>36.38399878177637</v>
      </c>
      <c r="I69">
        <v>103.2</v>
      </c>
    </row>
    <row r="70" spans="1:9" x14ac:dyDescent="0.2">
      <c r="A70" s="15">
        <v>43198</v>
      </c>
      <c r="B70" s="16">
        <v>119.55857142857143</v>
      </c>
      <c r="C70" s="19">
        <v>1.2269000000000001</v>
      </c>
      <c r="D70" s="18">
        <f t="shared" si="0"/>
        <v>0.81506235226994861</v>
      </c>
      <c r="E70" s="18">
        <f t="shared" si="1"/>
        <v>97.44769046260609</v>
      </c>
      <c r="F70" s="18">
        <f t="shared" si="4"/>
        <v>-36.23688612411852</v>
      </c>
      <c r="G70" s="18">
        <f t="shared" si="2"/>
        <v>-11.6500096034351</v>
      </c>
      <c r="H70" s="18">
        <f t="shared" si="3"/>
        <v>36.38399878177637</v>
      </c>
      <c r="I70">
        <v>103.2</v>
      </c>
    </row>
    <row r="71" spans="1:9" x14ac:dyDescent="0.2">
      <c r="A71" s="15">
        <v>43205</v>
      </c>
      <c r="B71" s="16">
        <v>122.99285714285715</v>
      </c>
      <c r="C71" s="19">
        <v>1.2336800000000001</v>
      </c>
      <c r="D71" s="18">
        <f t="shared" si="0"/>
        <v>0.81058297127293943</v>
      </c>
      <c r="E71" s="18">
        <f t="shared" si="1"/>
        <v>99.695915588205324</v>
      </c>
      <c r="F71" s="18">
        <f t="shared" si="4"/>
        <v>-25.168180937476027</v>
      </c>
      <c r="G71" s="18">
        <f t="shared" si="2"/>
        <v>-11.6500096034351</v>
      </c>
      <c r="H71" s="18">
        <f t="shared" si="3"/>
        <v>36.38399878177637</v>
      </c>
      <c r="I71">
        <v>103.2</v>
      </c>
    </row>
    <row r="72" spans="1:9" x14ac:dyDescent="0.2">
      <c r="A72" s="15">
        <v>43212</v>
      </c>
      <c r="B72" s="16">
        <v>142.61000000000001</v>
      </c>
      <c r="C72" s="19">
        <v>1.2343200000000001</v>
      </c>
      <c r="D72" s="18">
        <f t="shared" si="0"/>
        <v>0.81016268066627772</v>
      </c>
      <c r="E72" s="18">
        <f t="shared" si="1"/>
        <v>115.53729988981787</v>
      </c>
      <c r="F72" s="18">
        <f t="shared" si="4"/>
        <v>-13.508206066234008</v>
      </c>
      <c r="G72" s="18">
        <f t="shared" si="2"/>
        <v>-11.6500096034351</v>
      </c>
      <c r="H72" s="18">
        <f t="shared" si="3"/>
        <v>36.38399878177637</v>
      </c>
      <c r="I72">
        <v>103.2</v>
      </c>
    </row>
    <row r="73" spans="1:9" x14ac:dyDescent="0.2">
      <c r="A73" s="15">
        <v>43219</v>
      </c>
      <c r="B73" s="16">
        <v>152.36714285714285</v>
      </c>
      <c r="C73" s="19">
        <v>1.21682</v>
      </c>
      <c r="D73" s="18">
        <f t="shared" si="0"/>
        <v>0.82181423710984369</v>
      </c>
      <c r="E73" s="18">
        <f t="shared" si="1"/>
        <v>125.21748726774942</v>
      </c>
      <c r="F73" s="18">
        <f t="shared" si="4"/>
        <v>23.315572133418595</v>
      </c>
      <c r="G73" s="18">
        <f t="shared" si="2"/>
        <v>-11.6500096034351</v>
      </c>
      <c r="H73" s="18">
        <f t="shared" si="3"/>
        <v>36.38399878177637</v>
      </c>
      <c r="I73">
        <v>104.3</v>
      </c>
    </row>
    <row r="74" spans="1:9" x14ac:dyDescent="0.2">
      <c r="A74" s="15">
        <v>43226</v>
      </c>
      <c r="B74" s="16">
        <v>160.73142857142858</v>
      </c>
      <c r="C74" s="19">
        <v>1.19916</v>
      </c>
      <c r="D74" s="18">
        <f t="shared" si="0"/>
        <v>0.83391707528603354</v>
      </c>
      <c r="E74" s="18">
        <f t="shared" si="1"/>
        <v>134.03668282083174</v>
      </c>
      <c r="F74" s="18">
        <f t="shared" si="4"/>
        <v>37.547316087769225</v>
      </c>
      <c r="G74" s="18">
        <f t="shared" si="2"/>
        <v>-11.6500096034351</v>
      </c>
      <c r="H74" s="18">
        <f t="shared" si="3"/>
        <v>36.38399878177637</v>
      </c>
      <c r="I74">
        <v>104.3</v>
      </c>
    </row>
    <row r="75" spans="1:9" x14ac:dyDescent="0.2">
      <c r="A75" s="15">
        <v>43233</v>
      </c>
      <c r="B75" s="16">
        <v>150.15428571428572</v>
      </c>
      <c r="C75" s="19">
        <v>1.1897800000000001</v>
      </c>
      <c r="D75" s="18">
        <f t="shared" si="0"/>
        <v>0.84049151944056877</v>
      </c>
      <c r="E75" s="18">
        <f t="shared" si="1"/>
        <v>126.20340375051329</v>
      </c>
      <c r="F75" s="18">
        <f t="shared" si="4"/>
        <v>26.58833915703962</v>
      </c>
      <c r="G75" s="18">
        <f t="shared" si="2"/>
        <v>-11.6500096034351</v>
      </c>
      <c r="H75" s="18">
        <f t="shared" si="3"/>
        <v>36.38399878177637</v>
      </c>
      <c r="I75">
        <v>104.3</v>
      </c>
    </row>
    <row r="76" spans="1:9" x14ac:dyDescent="0.2">
      <c r="A76" s="15">
        <v>43240</v>
      </c>
      <c r="B76" s="16">
        <v>138.54142857142858</v>
      </c>
      <c r="C76" s="19">
        <v>1.1840200000000001</v>
      </c>
      <c r="D76" s="18">
        <f t="shared" si="0"/>
        <v>0.84458032803499938</v>
      </c>
      <c r="E76" s="18">
        <f t="shared" si="1"/>
        <v>117.00936518929458</v>
      </c>
      <c r="F76" s="18">
        <f t="shared" si="4"/>
        <v>1.2741039481453553</v>
      </c>
      <c r="G76" s="18">
        <f t="shared" si="2"/>
        <v>-11.6500096034351</v>
      </c>
      <c r="H76" s="18">
        <f t="shared" si="3"/>
        <v>36.38399878177637</v>
      </c>
      <c r="I76">
        <v>104.3</v>
      </c>
    </row>
    <row r="77" spans="1:9" x14ac:dyDescent="0.2">
      <c r="A77" s="15">
        <v>43247</v>
      </c>
      <c r="B77" s="16">
        <v>122.77428571428571</v>
      </c>
      <c r="C77" s="19">
        <v>1.1727799999999999</v>
      </c>
      <c r="D77" s="18">
        <f t="shared" ref="D77:D140" si="5">1/C77</f>
        <v>0.85267484097614221</v>
      </c>
      <c r="E77" s="18">
        <f t="shared" ref="E77:E140" si="6">B77*D77</f>
        <v>104.68654454738801</v>
      </c>
      <c r="F77" s="18">
        <f t="shared" si="4"/>
        <v>-16.396226412418425</v>
      </c>
      <c r="G77" s="18">
        <f t="shared" si="2"/>
        <v>-11.6500096034351</v>
      </c>
      <c r="H77" s="18">
        <f t="shared" si="3"/>
        <v>36.38399878177637</v>
      </c>
      <c r="I77">
        <v>104.4</v>
      </c>
    </row>
    <row r="78" spans="1:9" x14ac:dyDescent="0.2">
      <c r="A78" s="15">
        <v>43254</v>
      </c>
      <c r="B78" s="16">
        <v>119.26285714285714</v>
      </c>
      <c r="C78" s="19">
        <v>1.1640999999999999</v>
      </c>
      <c r="D78" s="18">
        <f t="shared" si="5"/>
        <v>0.85903272914698059</v>
      </c>
      <c r="E78" s="18">
        <f t="shared" si="6"/>
        <v>102.45069765729504</v>
      </c>
      <c r="F78" s="18">
        <f t="shared" si="4"/>
        <v>-23.565179694694493</v>
      </c>
      <c r="G78" s="18">
        <f t="shared" si="2"/>
        <v>-11.6500096034351</v>
      </c>
      <c r="H78" s="18">
        <f t="shared" si="3"/>
        <v>36.38399878177637</v>
      </c>
      <c r="I78">
        <v>104.4</v>
      </c>
    </row>
    <row r="79" spans="1:9" x14ac:dyDescent="0.2">
      <c r="A79" s="15">
        <v>43261</v>
      </c>
      <c r="B79" s="16">
        <v>118.45428571428572</v>
      </c>
      <c r="C79" s="19">
        <v>1.1746799999999999</v>
      </c>
      <c r="D79" s="18">
        <f t="shared" si="5"/>
        <v>0.85129567201280354</v>
      </c>
      <c r="E79" s="18">
        <f t="shared" si="6"/>
        <v>100.83962075993949</v>
      </c>
      <c r="F79" s="18">
        <f t="shared" si="4"/>
        <v>-20.097542726117357</v>
      </c>
      <c r="G79" s="18">
        <f t="shared" si="2"/>
        <v>-11.6500096034351</v>
      </c>
      <c r="H79" s="18">
        <f t="shared" si="3"/>
        <v>36.38399878177637</v>
      </c>
      <c r="I79">
        <v>104.4</v>
      </c>
    </row>
    <row r="80" spans="1:9" x14ac:dyDescent="0.2">
      <c r="A80" s="15">
        <v>43268</v>
      </c>
      <c r="B80" s="16">
        <v>98.554285714285712</v>
      </c>
      <c r="C80" s="19">
        <v>1.17256</v>
      </c>
      <c r="D80" s="18">
        <f t="shared" si="5"/>
        <v>0.85283482295149071</v>
      </c>
      <c r="E80" s="18">
        <f t="shared" si="6"/>
        <v>84.05052680825348</v>
      </c>
      <c r="F80" s="18">
        <f t="shared" si="4"/>
        <v>-28.167692669489476</v>
      </c>
      <c r="G80" s="18">
        <f t="shared" ref="G80:G143" si="7">G$272</f>
        <v>-11.6500096034351</v>
      </c>
      <c r="H80" s="18">
        <f t="shared" ref="H80:H143" si="8">H$272</f>
        <v>36.38399878177637</v>
      </c>
      <c r="I80">
        <v>104.4</v>
      </c>
    </row>
    <row r="81" spans="1:9" x14ac:dyDescent="0.2">
      <c r="A81" s="15">
        <v>43275</v>
      </c>
      <c r="B81" s="16">
        <v>91.51</v>
      </c>
      <c r="C81" s="19">
        <v>1.1600999999999999</v>
      </c>
      <c r="D81" s="18">
        <f t="shared" si="5"/>
        <v>0.86199465563313515</v>
      </c>
      <c r="E81" s="18">
        <f t="shared" si="6"/>
        <v>78.8811309369882</v>
      </c>
      <c r="F81" s="18">
        <f t="shared" ref="F81:F144" si="9">(E81/E77-1)*100</f>
        <v>-24.650172304348615</v>
      </c>
      <c r="G81" s="18">
        <f t="shared" si="7"/>
        <v>-11.6500096034351</v>
      </c>
      <c r="H81" s="18">
        <f t="shared" si="8"/>
        <v>36.38399878177637</v>
      </c>
      <c r="I81">
        <v>105.2</v>
      </c>
    </row>
    <row r="82" spans="1:9" x14ac:dyDescent="0.2">
      <c r="A82" s="15">
        <v>43282</v>
      </c>
      <c r="B82" s="16">
        <v>78.898571428571429</v>
      </c>
      <c r="C82" s="19">
        <v>1.16432</v>
      </c>
      <c r="D82" s="18">
        <f t="shared" si="5"/>
        <v>0.85887041363199124</v>
      </c>
      <c r="E82" s="18">
        <f t="shared" si="6"/>
        <v>67.763648677830346</v>
      </c>
      <c r="F82" s="18">
        <f t="shared" si="9"/>
        <v>-33.857308708131363</v>
      </c>
      <c r="G82" s="18">
        <f t="shared" si="7"/>
        <v>-11.6500096034351</v>
      </c>
      <c r="H82" s="18">
        <f t="shared" si="8"/>
        <v>36.38399878177637</v>
      </c>
      <c r="I82">
        <v>105.2</v>
      </c>
    </row>
    <row r="83" spans="1:9" x14ac:dyDescent="0.2">
      <c r="A83" s="15">
        <v>43289</v>
      </c>
      <c r="B83" s="16">
        <v>84.138571428571424</v>
      </c>
      <c r="C83" s="19">
        <v>1.1673</v>
      </c>
      <c r="D83" s="18">
        <f t="shared" si="5"/>
        <v>0.85667780347811184</v>
      </c>
      <c r="E83" s="18">
        <f t="shared" si="6"/>
        <v>72.07964655921478</v>
      </c>
      <c r="F83" s="18">
        <f t="shared" si="9"/>
        <v>-28.520510077275276</v>
      </c>
      <c r="G83" s="18">
        <f t="shared" si="7"/>
        <v>-11.6500096034351</v>
      </c>
      <c r="H83" s="18">
        <f t="shared" si="8"/>
        <v>36.38399878177637</v>
      </c>
      <c r="I83">
        <v>105.2</v>
      </c>
    </row>
    <row r="84" spans="1:9" x14ac:dyDescent="0.2">
      <c r="A84" s="15">
        <v>43296</v>
      </c>
      <c r="B84" s="16">
        <v>77.592857142857142</v>
      </c>
      <c r="C84" s="19">
        <v>1.17106</v>
      </c>
      <c r="D84" s="18">
        <f t="shared" si="5"/>
        <v>0.85392721124451354</v>
      </c>
      <c r="E84" s="18">
        <f t="shared" si="6"/>
        <v>66.258652112493934</v>
      </c>
      <c r="F84" s="18">
        <f t="shared" si="9"/>
        <v>-21.168070411204663</v>
      </c>
      <c r="G84" s="18">
        <f t="shared" si="7"/>
        <v>-11.6500096034351</v>
      </c>
      <c r="H84" s="18">
        <f t="shared" si="8"/>
        <v>36.38399878177637</v>
      </c>
      <c r="I84">
        <v>105.2</v>
      </c>
    </row>
    <row r="85" spans="1:9" x14ac:dyDescent="0.2">
      <c r="A85" s="15">
        <v>43303</v>
      </c>
      <c r="B85" s="16">
        <v>84.622857142857143</v>
      </c>
      <c r="C85" s="19">
        <v>1.16662</v>
      </c>
      <c r="D85" s="18">
        <f t="shared" si="5"/>
        <v>0.85717714422862634</v>
      </c>
      <c r="E85" s="18">
        <f t="shared" si="6"/>
        <v>72.536779022181307</v>
      </c>
      <c r="F85" s="18">
        <f t="shared" si="9"/>
        <v>-8.0429271733881258</v>
      </c>
      <c r="G85" s="18">
        <f t="shared" si="7"/>
        <v>-11.6500096034351</v>
      </c>
      <c r="H85" s="18">
        <f t="shared" si="8"/>
        <v>36.38399878177637</v>
      </c>
      <c r="I85">
        <v>105.2</v>
      </c>
    </row>
    <row r="86" spans="1:9" x14ac:dyDescent="0.2">
      <c r="A86" s="15">
        <v>43310</v>
      </c>
      <c r="B86" s="16">
        <v>84.684285714285721</v>
      </c>
      <c r="C86" s="19">
        <v>1.16754</v>
      </c>
      <c r="D86" s="18">
        <f t="shared" si="5"/>
        <v>0.8565017044383918</v>
      </c>
      <c r="E86" s="18">
        <f t="shared" si="6"/>
        <v>72.532235053433467</v>
      </c>
      <c r="F86" s="18">
        <f t="shared" si="9"/>
        <v>7.0370862086758024</v>
      </c>
      <c r="G86" s="18">
        <f t="shared" si="7"/>
        <v>-11.6500096034351</v>
      </c>
      <c r="H86" s="18">
        <f t="shared" si="8"/>
        <v>36.38399878177637</v>
      </c>
      <c r="I86">
        <v>105.2</v>
      </c>
    </row>
    <row r="87" spans="1:9" x14ac:dyDescent="0.2">
      <c r="A87" s="15">
        <v>43317</v>
      </c>
      <c r="B87" s="16">
        <v>77.180000000000007</v>
      </c>
      <c r="C87" s="19">
        <v>1.16598</v>
      </c>
      <c r="D87" s="18">
        <f t="shared" si="5"/>
        <v>0.85764764404192184</v>
      </c>
      <c r="E87" s="18">
        <f t="shared" si="6"/>
        <v>66.193245167155538</v>
      </c>
      <c r="F87" s="18">
        <f t="shared" si="9"/>
        <v>-8.1665236624370081</v>
      </c>
      <c r="G87" s="18">
        <f t="shared" si="7"/>
        <v>-11.6500096034351</v>
      </c>
      <c r="H87" s="18">
        <f t="shared" si="8"/>
        <v>36.38399878177637</v>
      </c>
      <c r="I87">
        <v>105.2</v>
      </c>
    </row>
    <row r="88" spans="1:9" x14ac:dyDescent="0.2">
      <c r="A88" s="15">
        <v>43324</v>
      </c>
      <c r="B88" s="16">
        <v>63.28142857142857</v>
      </c>
      <c r="C88" s="19">
        <v>1.15448</v>
      </c>
      <c r="D88" s="18">
        <f t="shared" si="5"/>
        <v>0.86619083916568507</v>
      </c>
      <c r="E88" s="18">
        <f t="shared" si="6"/>
        <v>54.81379371788907</v>
      </c>
      <c r="F88" s="18">
        <f t="shared" si="9"/>
        <v>-17.273002135892813</v>
      </c>
      <c r="G88" s="18">
        <f t="shared" si="7"/>
        <v>-11.6500096034351</v>
      </c>
      <c r="H88" s="18">
        <f t="shared" si="8"/>
        <v>36.38399878177637</v>
      </c>
      <c r="I88">
        <v>105.2</v>
      </c>
    </row>
    <row r="89" spans="1:9" x14ac:dyDescent="0.2">
      <c r="A89" s="15">
        <v>43331</v>
      </c>
      <c r="B89" s="16">
        <v>56.834285714285713</v>
      </c>
      <c r="C89" s="19">
        <v>1.13754</v>
      </c>
      <c r="D89" s="18">
        <f t="shared" si="5"/>
        <v>0.8790899660671273</v>
      </c>
      <c r="E89" s="18">
        <f t="shared" si="6"/>
        <v>49.962450300020848</v>
      </c>
      <c r="F89" s="18">
        <f t="shared" si="9"/>
        <v>-31.121217438201064</v>
      </c>
      <c r="G89" s="18">
        <f t="shared" si="7"/>
        <v>-11.6500096034351</v>
      </c>
      <c r="H89" s="18">
        <f t="shared" si="8"/>
        <v>36.38399878177637</v>
      </c>
      <c r="I89">
        <v>105.3</v>
      </c>
    </row>
    <row r="90" spans="1:9" x14ac:dyDescent="0.2">
      <c r="A90" s="15">
        <v>43338</v>
      </c>
      <c r="B90" s="16">
        <v>56.48</v>
      </c>
      <c r="C90" s="19">
        <v>1.1551800000000001</v>
      </c>
      <c r="D90" s="18">
        <f t="shared" si="5"/>
        <v>0.86566595682058201</v>
      </c>
      <c r="E90" s="18">
        <f t="shared" si="6"/>
        <v>48.89281324122647</v>
      </c>
      <c r="F90" s="18">
        <f t="shared" si="9"/>
        <v>-32.591608124018478</v>
      </c>
      <c r="G90" s="18">
        <f t="shared" si="7"/>
        <v>-11.6500096034351</v>
      </c>
      <c r="H90" s="18">
        <f t="shared" si="8"/>
        <v>36.38399878177637</v>
      </c>
      <c r="I90">
        <v>105.3</v>
      </c>
    </row>
    <row r="91" spans="1:9" x14ac:dyDescent="0.2">
      <c r="A91" s="15">
        <v>43345</v>
      </c>
      <c r="B91" s="16">
        <v>62.928571428571431</v>
      </c>
      <c r="C91" s="19">
        <v>1.1667400000000001</v>
      </c>
      <c r="D91" s="18">
        <f t="shared" si="5"/>
        <v>0.85708898297821268</v>
      </c>
      <c r="E91" s="18">
        <f t="shared" si="6"/>
        <v>53.935385285986101</v>
      </c>
      <c r="F91" s="18">
        <f t="shared" si="9"/>
        <v>-18.518294200888754</v>
      </c>
      <c r="G91" s="18">
        <f t="shared" si="7"/>
        <v>-11.6500096034351</v>
      </c>
      <c r="H91" s="18">
        <f t="shared" si="8"/>
        <v>36.38399878177637</v>
      </c>
      <c r="I91">
        <v>105.3</v>
      </c>
    </row>
    <row r="92" spans="1:9" x14ac:dyDescent="0.2">
      <c r="A92" s="15">
        <v>43352</v>
      </c>
      <c r="B92" s="16">
        <v>58.812857142857141</v>
      </c>
      <c r="C92" s="19">
        <v>1.1595500000000001</v>
      </c>
      <c r="D92" s="18">
        <f t="shared" si="5"/>
        <v>0.86240351860635589</v>
      </c>
      <c r="E92" s="18">
        <f t="shared" si="6"/>
        <v>50.720414939292951</v>
      </c>
      <c r="F92" s="18">
        <f t="shared" si="9"/>
        <v>-7.4677895853433647</v>
      </c>
      <c r="G92" s="18">
        <f t="shared" si="7"/>
        <v>-11.6500096034351</v>
      </c>
      <c r="H92" s="18">
        <f t="shared" si="8"/>
        <v>36.38399878177637</v>
      </c>
      <c r="I92">
        <v>105.3</v>
      </c>
    </row>
    <row r="93" spans="1:9" x14ac:dyDescent="0.2">
      <c r="A93" s="15">
        <v>43359</v>
      </c>
      <c r="B93" s="16">
        <v>54.568571428571431</v>
      </c>
      <c r="C93" s="19">
        <v>1.1629799999999999</v>
      </c>
      <c r="D93" s="18">
        <f t="shared" si="5"/>
        <v>0.85986001478959229</v>
      </c>
      <c r="E93" s="18">
        <f t="shared" si="6"/>
        <v>46.921332635618356</v>
      </c>
      <c r="F93" s="18">
        <f t="shared" si="9"/>
        <v>-6.0868064839510572</v>
      </c>
      <c r="G93" s="18">
        <f t="shared" si="7"/>
        <v>-11.6500096034351</v>
      </c>
      <c r="H93" s="18">
        <f t="shared" si="8"/>
        <v>36.38399878177637</v>
      </c>
      <c r="I93">
        <v>105.4</v>
      </c>
    </row>
    <row r="94" spans="1:9" x14ac:dyDescent="0.2">
      <c r="A94" s="15">
        <v>43366</v>
      </c>
      <c r="B94" s="16">
        <v>57.08</v>
      </c>
      <c r="C94" s="19">
        <v>1.17096</v>
      </c>
      <c r="D94" s="18">
        <f t="shared" si="5"/>
        <v>0.85400013664002183</v>
      </c>
      <c r="E94" s="18">
        <f t="shared" si="6"/>
        <v>48.746327799412448</v>
      </c>
      <c r="F94" s="18">
        <f t="shared" si="9"/>
        <v>-0.2996052632342816</v>
      </c>
      <c r="G94" s="18">
        <f t="shared" si="7"/>
        <v>-11.6500096034351</v>
      </c>
      <c r="H94" s="18">
        <f t="shared" si="8"/>
        <v>36.38399878177637</v>
      </c>
      <c r="I94">
        <v>105.4</v>
      </c>
    </row>
    <row r="95" spans="1:9" x14ac:dyDescent="0.2">
      <c r="A95" s="15">
        <v>43373</v>
      </c>
      <c r="B95" s="16">
        <v>60.01</v>
      </c>
      <c r="C95" s="19">
        <v>1.1718599999999999</v>
      </c>
      <c r="D95" s="18">
        <f t="shared" si="5"/>
        <v>0.85334425613981202</v>
      </c>
      <c r="E95" s="18">
        <f t="shared" si="6"/>
        <v>51.209188810950117</v>
      </c>
      <c r="F95" s="18">
        <f t="shared" si="9"/>
        <v>-5.0545601196332335</v>
      </c>
      <c r="G95" s="18">
        <f t="shared" si="7"/>
        <v>-11.6500096034351</v>
      </c>
      <c r="H95" s="18">
        <f t="shared" si="8"/>
        <v>36.38399878177637</v>
      </c>
      <c r="I95">
        <v>105.4</v>
      </c>
    </row>
    <row r="96" spans="1:9" x14ac:dyDescent="0.2">
      <c r="A96" s="15">
        <v>43380</v>
      </c>
      <c r="B96" s="16">
        <v>58.39142857142857</v>
      </c>
      <c r="C96" s="19">
        <v>1.15324</v>
      </c>
      <c r="D96" s="18">
        <f t="shared" si="5"/>
        <v>0.86712219485969955</v>
      </c>
      <c r="E96" s="18">
        <f t="shared" si="6"/>
        <v>50.63250370385051</v>
      </c>
      <c r="F96" s="18">
        <f t="shared" si="9"/>
        <v>-0.17332515033179341</v>
      </c>
      <c r="G96" s="18">
        <f t="shared" si="7"/>
        <v>-11.6500096034351</v>
      </c>
      <c r="H96" s="18">
        <f t="shared" si="8"/>
        <v>36.38399878177637</v>
      </c>
      <c r="I96">
        <v>105.4</v>
      </c>
    </row>
    <row r="97" spans="1:9" x14ac:dyDescent="0.2">
      <c r="A97" s="15">
        <v>43387</v>
      </c>
      <c r="B97" s="16">
        <v>54.735714285714288</v>
      </c>
      <c r="C97" s="19">
        <v>1.153675</v>
      </c>
      <c r="D97" s="18">
        <f t="shared" si="5"/>
        <v>0.86679524129412533</v>
      </c>
      <c r="E97" s="18">
        <f t="shared" si="6"/>
        <v>47.444656671692016</v>
      </c>
      <c r="F97" s="18">
        <f t="shared" si="9"/>
        <v>1.1153221928662749</v>
      </c>
      <c r="G97" s="18">
        <f t="shared" si="7"/>
        <v>-11.6500096034351</v>
      </c>
      <c r="H97" s="18">
        <f t="shared" si="8"/>
        <v>36.38399878177637</v>
      </c>
      <c r="I97">
        <v>104.2</v>
      </c>
    </row>
    <row r="98" spans="1:9" x14ac:dyDescent="0.2">
      <c r="A98" s="15">
        <v>43394</v>
      </c>
      <c r="B98" s="16">
        <v>52.678571428571431</v>
      </c>
      <c r="C98" s="19">
        <v>1.1546799999999999</v>
      </c>
      <c r="D98" s="18">
        <f t="shared" si="5"/>
        <v>0.86604080784286563</v>
      </c>
      <c r="E98" s="18">
        <f t="shared" si="6"/>
        <v>45.621792556008103</v>
      </c>
      <c r="F98" s="18">
        <f t="shared" si="9"/>
        <v>-6.4097858945633357</v>
      </c>
      <c r="G98" s="18">
        <f t="shared" si="7"/>
        <v>-11.6500096034351</v>
      </c>
      <c r="H98" s="18">
        <f t="shared" si="8"/>
        <v>36.38399878177637</v>
      </c>
      <c r="I98">
        <v>104.2</v>
      </c>
    </row>
    <row r="99" spans="1:9" x14ac:dyDescent="0.2">
      <c r="A99" s="15">
        <v>43401</v>
      </c>
      <c r="B99" s="16">
        <v>51.717142857142861</v>
      </c>
      <c r="C99" s="19">
        <v>1.1419600000000001</v>
      </c>
      <c r="D99" s="18">
        <f t="shared" si="5"/>
        <v>0.87568741462047706</v>
      </c>
      <c r="E99" s="18">
        <f t="shared" si="6"/>
        <v>45.288051120129303</v>
      </c>
      <c r="F99" s="18">
        <f t="shared" si="9"/>
        <v>-11.562646916122777</v>
      </c>
      <c r="G99" s="18">
        <f t="shared" si="7"/>
        <v>-11.6500096034351</v>
      </c>
      <c r="H99" s="18">
        <f t="shared" si="8"/>
        <v>36.38399878177637</v>
      </c>
      <c r="I99">
        <v>104.2</v>
      </c>
    </row>
    <row r="100" spans="1:9" x14ac:dyDescent="0.2">
      <c r="A100" s="15">
        <v>43408</v>
      </c>
      <c r="B100" s="16">
        <v>50.381428571428572</v>
      </c>
      <c r="C100" s="19">
        <v>1.1372</v>
      </c>
      <c r="D100" s="18">
        <f t="shared" si="5"/>
        <v>0.87935279634189234</v>
      </c>
      <c r="E100" s="18">
        <f t="shared" si="6"/>
        <v>44.303050097985022</v>
      </c>
      <c r="F100" s="18">
        <f t="shared" si="9"/>
        <v>-12.50077152590845</v>
      </c>
      <c r="G100" s="18">
        <f t="shared" si="7"/>
        <v>-11.6500096034351</v>
      </c>
      <c r="H100" s="18">
        <f t="shared" si="8"/>
        <v>36.38399878177637</v>
      </c>
      <c r="I100">
        <v>104.2</v>
      </c>
    </row>
    <row r="101" spans="1:9" x14ac:dyDescent="0.2">
      <c r="A101" s="15">
        <v>43415</v>
      </c>
      <c r="B101" s="16">
        <v>52.78142857142857</v>
      </c>
      <c r="C101" s="19">
        <v>1.14012</v>
      </c>
      <c r="D101" s="18">
        <f t="shared" si="5"/>
        <v>0.87710065607129073</v>
      </c>
      <c r="E101" s="18">
        <f t="shared" si="6"/>
        <v>46.294625628379968</v>
      </c>
      <c r="F101" s="18">
        <f t="shared" si="9"/>
        <v>-2.4239421759757795</v>
      </c>
      <c r="G101" s="18">
        <f t="shared" si="7"/>
        <v>-11.6500096034351</v>
      </c>
      <c r="H101" s="18">
        <f t="shared" si="8"/>
        <v>36.38399878177637</v>
      </c>
      <c r="I101">
        <v>104.4</v>
      </c>
    </row>
    <row r="102" spans="1:9" x14ac:dyDescent="0.2">
      <c r="A102" s="15">
        <v>43422</v>
      </c>
      <c r="B102" s="16">
        <v>44.335714285714289</v>
      </c>
      <c r="C102" s="19">
        <v>1.1331500000000001</v>
      </c>
      <c r="D102" s="18">
        <f t="shared" si="5"/>
        <v>0.88249569783347304</v>
      </c>
      <c r="E102" s="18">
        <f t="shared" si="6"/>
        <v>39.126077117516914</v>
      </c>
      <c r="F102" s="18">
        <f t="shared" si="9"/>
        <v>-14.238185469184828</v>
      </c>
      <c r="G102" s="18">
        <f t="shared" si="7"/>
        <v>-11.6500096034351</v>
      </c>
      <c r="H102" s="18">
        <f t="shared" si="8"/>
        <v>36.38399878177637</v>
      </c>
      <c r="I102">
        <v>104.4</v>
      </c>
    </row>
    <row r="103" spans="1:9" x14ac:dyDescent="0.2">
      <c r="A103" s="15">
        <v>43429</v>
      </c>
      <c r="B103" s="16">
        <v>32.048571428571428</v>
      </c>
      <c r="C103" s="19">
        <v>1.1391</v>
      </c>
      <c r="D103" s="18">
        <f t="shared" si="5"/>
        <v>0.87788605039065926</v>
      </c>
      <c r="E103" s="18">
        <f t="shared" si="6"/>
        <v>28.1349937920915</v>
      </c>
      <c r="F103" s="18">
        <f t="shared" si="9"/>
        <v>-37.875459207856565</v>
      </c>
      <c r="G103" s="18">
        <f t="shared" si="7"/>
        <v>-11.6500096034351</v>
      </c>
      <c r="H103" s="18">
        <f t="shared" si="8"/>
        <v>36.38399878177637</v>
      </c>
      <c r="I103">
        <v>104.4</v>
      </c>
    </row>
    <row r="104" spans="1:9" x14ac:dyDescent="0.2">
      <c r="A104" s="15">
        <v>43436</v>
      </c>
      <c r="B104" s="16">
        <v>32.377142857142857</v>
      </c>
      <c r="C104" s="19">
        <v>1.1321600000000001</v>
      </c>
      <c r="D104" s="18">
        <f t="shared" si="5"/>
        <v>0.88326738270209149</v>
      </c>
      <c r="E104" s="18">
        <f t="shared" si="6"/>
        <v>28.597674230800287</v>
      </c>
      <c r="F104" s="18">
        <f t="shared" si="9"/>
        <v>-35.449874968990095</v>
      </c>
      <c r="G104" s="18">
        <f t="shared" si="7"/>
        <v>-11.6500096034351</v>
      </c>
      <c r="H104" s="18">
        <f t="shared" si="8"/>
        <v>36.38399878177637</v>
      </c>
      <c r="I104">
        <v>104.4</v>
      </c>
    </row>
    <row r="105" spans="1:9" x14ac:dyDescent="0.2">
      <c r="A105" s="15">
        <v>43443</v>
      </c>
      <c r="B105" s="16">
        <v>27.204285714285714</v>
      </c>
      <c r="C105" s="19">
        <v>1.136625</v>
      </c>
      <c r="D105" s="18">
        <f t="shared" si="5"/>
        <v>0.87979764654129555</v>
      </c>
      <c r="E105" s="18">
        <f t="shared" si="6"/>
        <v>23.934266547265558</v>
      </c>
      <c r="F105" s="18">
        <f t="shared" si="9"/>
        <v>-48.300118593910504</v>
      </c>
      <c r="G105" s="18">
        <f t="shared" si="7"/>
        <v>-11.6500096034351</v>
      </c>
      <c r="H105" s="18">
        <f t="shared" si="8"/>
        <v>36.38399878177637</v>
      </c>
      <c r="I105">
        <v>103.4</v>
      </c>
    </row>
    <row r="106" spans="1:9" x14ac:dyDescent="0.2">
      <c r="A106" s="15">
        <v>43450</v>
      </c>
      <c r="B106" s="16">
        <v>23.69</v>
      </c>
      <c r="C106" s="19">
        <v>1.1340399999999999</v>
      </c>
      <c r="D106" s="18">
        <f t="shared" si="5"/>
        <v>0.88180311100137565</v>
      </c>
      <c r="E106" s="18">
        <f t="shared" si="6"/>
        <v>20.889915699622591</v>
      </c>
      <c r="F106" s="18">
        <f t="shared" si="9"/>
        <v>-46.608714088870194</v>
      </c>
      <c r="G106" s="18">
        <f t="shared" si="7"/>
        <v>-11.6500096034351</v>
      </c>
      <c r="H106" s="18">
        <f t="shared" si="8"/>
        <v>36.38399878177637</v>
      </c>
      <c r="I106">
        <v>103.4</v>
      </c>
    </row>
    <row r="107" spans="1:9" x14ac:dyDescent="0.2">
      <c r="A107" s="15">
        <v>43457</v>
      </c>
      <c r="B107" s="16">
        <v>30.745714285714286</v>
      </c>
      <c r="C107" s="19">
        <v>1.1391800000000001</v>
      </c>
      <c r="D107" s="18">
        <f t="shared" si="5"/>
        <v>0.87782440000702255</v>
      </c>
      <c r="E107" s="18">
        <f t="shared" si="6"/>
        <v>26.989338195644486</v>
      </c>
      <c r="F107" s="18">
        <f t="shared" si="9"/>
        <v>-4.0719951989790282</v>
      </c>
      <c r="G107" s="18">
        <f t="shared" si="7"/>
        <v>-11.6500096034351</v>
      </c>
      <c r="H107" s="18">
        <f t="shared" si="8"/>
        <v>36.38399878177637</v>
      </c>
      <c r="I107">
        <v>103.4</v>
      </c>
    </row>
    <row r="108" spans="1:9" x14ac:dyDescent="0.2">
      <c r="A108" s="15">
        <v>43464</v>
      </c>
      <c r="B108" s="16">
        <v>30.924285714285713</v>
      </c>
      <c r="C108" s="19">
        <v>1.1421666666666668</v>
      </c>
      <c r="D108" s="18">
        <f t="shared" si="5"/>
        <v>0.87552896541660574</v>
      </c>
      <c r="E108" s="18">
        <f t="shared" si="6"/>
        <v>27.075107877676089</v>
      </c>
      <c r="F108" s="18">
        <f t="shared" si="9"/>
        <v>-5.3240915356828626</v>
      </c>
      <c r="G108" s="18">
        <f t="shared" si="7"/>
        <v>-11.6500096034351</v>
      </c>
      <c r="H108" s="18">
        <f t="shared" si="8"/>
        <v>36.38399878177637</v>
      </c>
      <c r="I108">
        <v>103.4</v>
      </c>
    </row>
    <row r="109" spans="1:9" x14ac:dyDescent="0.2">
      <c r="A109" s="20">
        <v>43471</v>
      </c>
      <c r="B109" s="16">
        <v>33.054285714285712</v>
      </c>
      <c r="C109" s="19">
        <v>1.14055</v>
      </c>
      <c r="D109" s="18">
        <f t="shared" si="5"/>
        <v>0.87676997939590551</v>
      </c>
      <c r="E109" s="18">
        <f t="shared" si="6"/>
        <v>28.981005404660657</v>
      </c>
      <c r="F109" s="18">
        <f t="shared" si="9"/>
        <v>21.085830424043973</v>
      </c>
      <c r="G109" s="18">
        <f t="shared" si="7"/>
        <v>-11.6500096034351</v>
      </c>
      <c r="H109" s="18">
        <f t="shared" si="8"/>
        <v>36.38399878177637</v>
      </c>
      <c r="I109">
        <v>103.9</v>
      </c>
    </row>
    <row r="110" spans="1:9" x14ac:dyDescent="0.2">
      <c r="A110" s="20">
        <v>43478</v>
      </c>
      <c r="B110" s="16">
        <v>34.634285714285717</v>
      </c>
      <c r="C110" s="19">
        <v>1.1486400000000001</v>
      </c>
      <c r="D110" s="18">
        <f t="shared" si="5"/>
        <v>0.87059479036077436</v>
      </c>
      <c r="E110" s="18">
        <f t="shared" si="6"/>
        <v>30.152428710723736</v>
      </c>
      <c r="F110" s="18">
        <f t="shared" si="9"/>
        <v>44.33963805449195</v>
      </c>
      <c r="G110" s="18">
        <f t="shared" si="7"/>
        <v>-11.6500096034351</v>
      </c>
      <c r="H110" s="18">
        <f t="shared" si="8"/>
        <v>36.38399878177637</v>
      </c>
      <c r="I110">
        <v>103.9</v>
      </c>
    </row>
    <row r="111" spans="1:9" x14ac:dyDescent="0.2">
      <c r="A111" s="20">
        <v>43485</v>
      </c>
      <c r="B111" s="16">
        <v>31.41</v>
      </c>
      <c r="C111" s="19">
        <v>1.1387</v>
      </c>
      <c r="D111" s="18">
        <f t="shared" si="5"/>
        <v>0.87819443224729954</v>
      </c>
      <c r="E111" s="18">
        <f t="shared" si="6"/>
        <v>27.58408711688768</v>
      </c>
      <c r="F111" s="18">
        <f t="shared" si="9"/>
        <v>2.2036439609296243</v>
      </c>
      <c r="G111" s="18">
        <f t="shared" si="7"/>
        <v>-11.6500096034351</v>
      </c>
      <c r="H111" s="18">
        <f t="shared" si="8"/>
        <v>36.38399878177637</v>
      </c>
      <c r="I111">
        <v>103.9</v>
      </c>
    </row>
    <row r="112" spans="1:9" x14ac:dyDescent="0.2">
      <c r="A112" s="20">
        <v>43492</v>
      </c>
      <c r="B112" s="16">
        <v>31.965714285714284</v>
      </c>
      <c r="C112" s="19">
        <v>1.1369499999999999</v>
      </c>
      <c r="D112" s="18">
        <f t="shared" si="5"/>
        <v>0.87954615418444093</v>
      </c>
      <c r="E112" s="18">
        <f t="shared" si="6"/>
        <v>28.115321065758643</v>
      </c>
      <c r="F112" s="18">
        <f t="shared" si="9"/>
        <v>3.8419539925092172</v>
      </c>
      <c r="G112" s="18">
        <f t="shared" si="7"/>
        <v>-11.6500096034351</v>
      </c>
      <c r="H112" s="18">
        <f t="shared" si="8"/>
        <v>36.38399878177637</v>
      </c>
      <c r="I112">
        <v>103.9</v>
      </c>
    </row>
    <row r="113" spans="1:9" x14ac:dyDescent="0.2">
      <c r="A113" s="20">
        <v>43499</v>
      </c>
      <c r="B113" s="16">
        <v>31.977142857142859</v>
      </c>
      <c r="C113" s="19">
        <v>1.1441600000000001</v>
      </c>
      <c r="D113" s="18">
        <f t="shared" si="5"/>
        <v>0.87400363585512508</v>
      </c>
      <c r="E113" s="18">
        <f t="shared" si="6"/>
        <v>27.948139121401603</v>
      </c>
      <c r="F113" s="18">
        <f t="shared" si="9"/>
        <v>-3.5639422057212378</v>
      </c>
      <c r="G113" s="18">
        <f t="shared" si="7"/>
        <v>-11.6500096034351</v>
      </c>
      <c r="H113" s="18">
        <f t="shared" si="8"/>
        <v>36.38399878177637</v>
      </c>
      <c r="I113">
        <v>104.4</v>
      </c>
    </row>
    <row r="114" spans="1:9" x14ac:dyDescent="0.2">
      <c r="A114" s="20">
        <v>43506</v>
      </c>
      <c r="B114" s="16">
        <v>38.025714285714287</v>
      </c>
      <c r="C114" s="19">
        <v>1.1381399999999999</v>
      </c>
      <c r="D114" s="18">
        <f t="shared" si="5"/>
        <v>0.87862653100673038</v>
      </c>
      <c r="E114" s="18">
        <f t="shared" si="6"/>
        <v>33.410401431910216</v>
      </c>
      <c r="F114" s="18">
        <f t="shared" si="9"/>
        <v>10.805009282810364</v>
      </c>
      <c r="G114" s="18">
        <f t="shared" si="7"/>
        <v>-11.6500096034351</v>
      </c>
      <c r="H114" s="18">
        <f t="shared" si="8"/>
        <v>36.38399878177637</v>
      </c>
      <c r="I114">
        <v>104.4</v>
      </c>
    </row>
    <row r="115" spans="1:9" x14ac:dyDescent="0.2">
      <c r="A115" s="20">
        <v>43513</v>
      </c>
      <c r="B115" s="16">
        <v>42.362857142857145</v>
      </c>
      <c r="C115" s="19">
        <v>1.12866</v>
      </c>
      <c r="D115" s="18">
        <f t="shared" si="5"/>
        <v>0.88600641468644237</v>
      </c>
      <c r="E115" s="18">
        <f t="shared" si="6"/>
        <v>37.533763173016801</v>
      </c>
      <c r="F115" s="18">
        <f t="shared" si="9"/>
        <v>36.070347421567121</v>
      </c>
      <c r="G115" s="18">
        <f t="shared" si="7"/>
        <v>-11.6500096034351</v>
      </c>
      <c r="H115" s="18">
        <f t="shared" si="8"/>
        <v>36.38399878177637</v>
      </c>
      <c r="I115">
        <v>104.4</v>
      </c>
    </row>
    <row r="116" spans="1:9" x14ac:dyDescent="0.2">
      <c r="A116" s="20">
        <v>43520</v>
      </c>
      <c r="B116" s="16">
        <v>48.231428571428573</v>
      </c>
      <c r="C116" s="19">
        <v>1.1335999999999999</v>
      </c>
      <c r="D116" s="18">
        <f t="shared" si="5"/>
        <v>0.88214537755822164</v>
      </c>
      <c r="E116" s="18">
        <f t="shared" si="6"/>
        <v>42.547131767315257</v>
      </c>
      <c r="F116" s="18">
        <f t="shared" si="9"/>
        <v>51.330769681776701</v>
      </c>
      <c r="G116" s="18">
        <f t="shared" si="7"/>
        <v>-11.6500096034351</v>
      </c>
      <c r="H116" s="18">
        <f t="shared" si="8"/>
        <v>36.38399878177637</v>
      </c>
      <c r="I116">
        <v>104.4</v>
      </c>
    </row>
    <row r="117" spans="1:9" x14ac:dyDescent="0.2">
      <c r="A117" s="20">
        <v>43527</v>
      </c>
      <c r="B117" s="16">
        <v>46.14</v>
      </c>
      <c r="C117" s="19">
        <v>1.1368799999999999</v>
      </c>
      <c r="D117" s="18">
        <f t="shared" si="5"/>
        <v>0.87960030961930902</v>
      </c>
      <c r="E117" s="18">
        <f t="shared" si="6"/>
        <v>40.584758285834916</v>
      </c>
      <c r="F117" s="18">
        <f t="shared" si="9"/>
        <v>45.2145279137983</v>
      </c>
      <c r="G117" s="18">
        <f t="shared" si="7"/>
        <v>-11.6500096034351</v>
      </c>
      <c r="H117" s="18">
        <f t="shared" si="8"/>
        <v>36.38399878177637</v>
      </c>
      <c r="I117">
        <v>105.4</v>
      </c>
    </row>
    <row r="118" spans="1:9" x14ac:dyDescent="0.2">
      <c r="A118" s="20">
        <v>43534</v>
      </c>
      <c r="B118" s="16">
        <v>54.097142857142856</v>
      </c>
      <c r="C118" s="19">
        <v>1.1281000000000001</v>
      </c>
      <c r="D118" s="18">
        <f t="shared" si="5"/>
        <v>0.88644623703572367</v>
      </c>
      <c r="E118" s="18">
        <f t="shared" si="6"/>
        <v>47.954208720098265</v>
      </c>
      <c r="F118" s="18">
        <f t="shared" si="9"/>
        <v>43.530776838548491</v>
      </c>
      <c r="G118" s="18">
        <f t="shared" si="7"/>
        <v>-11.6500096034351</v>
      </c>
      <c r="H118" s="18">
        <f t="shared" si="8"/>
        <v>36.38399878177637</v>
      </c>
      <c r="I118">
        <v>105.4</v>
      </c>
    </row>
    <row r="119" spans="1:9" x14ac:dyDescent="0.2">
      <c r="A119" s="20">
        <v>43541</v>
      </c>
      <c r="B119" s="16">
        <v>57.278571428571432</v>
      </c>
      <c r="C119" s="19">
        <v>1.1288400000000001</v>
      </c>
      <c r="D119" s="18">
        <f t="shared" si="5"/>
        <v>0.88586513589171179</v>
      </c>
      <c r="E119" s="18">
        <f t="shared" si="6"/>
        <v>50.74108946225455</v>
      </c>
      <c r="F119" s="18">
        <f t="shared" si="9"/>
        <v>35.187855340688444</v>
      </c>
      <c r="G119" s="18">
        <f t="shared" si="7"/>
        <v>-11.6500096034351</v>
      </c>
      <c r="H119" s="18">
        <f t="shared" si="8"/>
        <v>36.38399878177637</v>
      </c>
      <c r="I119">
        <v>105.4</v>
      </c>
    </row>
    <row r="120" spans="1:9" x14ac:dyDescent="0.2">
      <c r="A120" s="20">
        <v>43548</v>
      </c>
      <c r="B120" s="16">
        <v>59.415714285714287</v>
      </c>
      <c r="C120" s="19">
        <v>1.1335599999999999</v>
      </c>
      <c r="D120" s="18">
        <f t="shared" si="5"/>
        <v>0.88217650587529561</v>
      </c>
      <c r="E120" s="18">
        <f t="shared" si="6"/>
        <v>52.415147222656316</v>
      </c>
      <c r="F120" s="18">
        <f t="shared" si="9"/>
        <v>23.193139103495763</v>
      </c>
      <c r="G120" s="18">
        <f t="shared" si="7"/>
        <v>-11.6500096034351</v>
      </c>
      <c r="H120" s="18">
        <f t="shared" si="8"/>
        <v>36.38399878177637</v>
      </c>
      <c r="I120">
        <v>105.4</v>
      </c>
    </row>
    <row r="121" spans="1:9" x14ac:dyDescent="0.2">
      <c r="A121" s="20">
        <v>43555</v>
      </c>
      <c r="B121" s="16">
        <v>60.07</v>
      </c>
      <c r="C121" s="19">
        <v>1.12636</v>
      </c>
      <c r="D121" s="18">
        <f t="shared" si="5"/>
        <v>0.88781561845235979</v>
      </c>
      <c r="E121" s="18">
        <f t="shared" si="6"/>
        <v>53.331084200433253</v>
      </c>
      <c r="F121" s="18">
        <f t="shared" si="9"/>
        <v>31.406681850430338</v>
      </c>
      <c r="G121" s="18">
        <f t="shared" si="7"/>
        <v>-11.6500096034351</v>
      </c>
      <c r="H121" s="18">
        <f t="shared" si="8"/>
        <v>36.38399878177637</v>
      </c>
      <c r="I121">
        <v>105.7</v>
      </c>
    </row>
    <row r="122" spans="1:9" x14ac:dyDescent="0.2">
      <c r="A122" s="20">
        <v>43562</v>
      </c>
      <c r="B122" s="16">
        <v>83.075714285714284</v>
      </c>
      <c r="C122" s="19">
        <v>1.1214200000000001</v>
      </c>
      <c r="D122" s="18">
        <f t="shared" si="5"/>
        <v>0.89172656096734493</v>
      </c>
      <c r="E122" s="18">
        <f t="shared" si="6"/>
        <v>74.080820999905725</v>
      </c>
      <c r="F122" s="18">
        <f t="shared" si="9"/>
        <v>54.482417658697479</v>
      </c>
      <c r="G122" s="18">
        <f t="shared" si="7"/>
        <v>-11.6500096034351</v>
      </c>
      <c r="H122" s="18">
        <f t="shared" si="8"/>
        <v>36.38399878177637</v>
      </c>
      <c r="I122">
        <v>105.7</v>
      </c>
    </row>
    <row r="123" spans="1:9" x14ac:dyDescent="0.2">
      <c r="A123" s="20">
        <v>43569</v>
      </c>
      <c r="B123" s="16">
        <v>83.518571428571434</v>
      </c>
      <c r="C123" s="19">
        <v>1.12744</v>
      </c>
      <c r="D123" s="18">
        <f t="shared" si="5"/>
        <v>0.88696516000851489</v>
      </c>
      <c r="E123" s="18">
        <f t="shared" si="6"/>
        <v>74.078063070825436</v>
      </c>
      <c r="F123" s="18">
        <f t="shared" si="9"/>
        <v>45.992259637883556</v>
      </c>
      <c r="G123" s="18">
        <f t="shared" si="7"/>
        <v>-11.6500096034351</v>
      </c>
      <c r="H123" s="18">
        <f t="shared" si="8"/>
        <v>36.38399878177637</v>
      </c>
      <c r="I123">
        <v>105.7</v>
      </c>
    </row>
    <row r="124" spans="1:9" x14ac:dyDescent="0.2">
      <c r="A124" s="20">
        <v>43576</v>
      </c>
      <c r="B124" s="16">
        <v>80.262857142857143</v>
      </c>
      <c r="C124" s="19">
        <v>1.1276200000000001</v>
      </c>
      <c r="D124" s="18">
        <f t="shared" si="5"/>
        <v>0.88682357531792622</v>
      </c>
      <c r="E124" s="18">
        <f t="shared" si="6"/>
        <v>71.178993936660518</v>
      </c>
      <c r="F124" s="18">
        <f t="shared" si="9"/>
        <v>35.798519527755104</v>
      </c>
      <c r="G124" s="18">
        <f t="shared" si="7"/>
        <v>-11.6500096034351</v>
      </c>
      <c r="H124" s="18">
        <f t="shared" si="8"/>
        <v>36.38399878177637</v>
      </c>
      <c r="I124">
        <v>105.7</v>
      </c>
    </row>
    <row r="125" spans="1:9" x14ac:dyDescent="0.2">
      <c r="A125" s="20">
        <v>43583</v>
      </c>
      <c r="B125" s="16">
        <v>72.161428571428573</v>
      </c>
      <c r="C125" s="19">
        <v>1.11914</v>
      </c>
      <c r="D125" s="18">
        <f t="shared" si="5"/>
        <v>0.89354325642904375</v>
      </c>
      <c r="E125" s="18">
        <f t="shared" si="6"/>
        <v>64.479357874286123</v>
      </c>
      <c r="F125" s="18">
        <f t="shared" si="9"/>
        <v>20.903894681672909</v>
      </c>
      <c r="G125" s="18">
        <f t="shared" si="7"/>
        <v>-11.6500096034351</v>
      </c>
      <c r="H125" s="18">
        <f t="shared" si="8"/>
        <v>36.38399878177637</v>
      </c>
      <c r="I125">
        <v>106</v>
      </c>
    </row>
    <row r="126" spans="1:9" x14ac:dyDescent="0.2">
      <c r="A126" s="20">
        <v>43590</v>
      </c>
      <c r="B126" s="16">
        <v>73.452857142857141</v>
      </c>
      <c r="C126" s="19">
        <v>1.1196600000000001</v>
      </c>
      <c r="D126" s="18">
        <f t="shared" si="5"/>
        <v>0.89312827108229276</v>
      </c>
      <c r="E126" s="18">
        <f t="shared" si="6"/>
        <v>65.602823306054631</v>
      </c>
      <c r="F126" s="18">
        <f t="shared" si="9"/>
        <v>-11.44425450395843</v>
      </c>
      <c r="G126" s="18">
        <f t="shared" si="7"/>
        <v>-11.6500096034351</v>
      </c>
      <c r="H126" s="18">
        <f t="shared" si="8"/>
        <v>36.38399878177637</v>
      </c>
      <c r="I126">
        <v>106</v>
      </c>
    </row>
    <row r="127" spans="1:9" x14ac:dyDescent="0.2">
      <c r="A127" s="20">
        <v>43597</v>
      </c>
      <c r="B127" s="16">
        <v>77.82714285714286</v>
      </c>
      <c r="C127" s="19">
        <v>1.121</v>
      </c>
      <c r="D127" s="18">
        <f t="shared" si="5"/>
        <v>0.89206066012488849</v>
      </c>
      <c r="E127" s="18">
        <f t="shared" si="6"/>
        <v>69.426532432776867</v>
      </c>
      <c r="F127" s="18">
        <f t="shared" si="9"/>
        <v>-6.2792282157826946</v>
      </c>
      <c r="G127" s="18">
        <f t="shared" si="7"/>
        <v>-11.6500096034351</v>
      </c>
      <c r="H127" s="18">
        <f t="shared" si="8"/>
        <v>36.38399878177637</v>
      </c>
      <c r="I127">
        <v>106</v>
      </c>
    </row>
    <row r="128" spans="1:9" x14ac:dyDescent="0.2">
      <c r="A128" s="20">
        <v>43604</v>
      </c>
      <c r="B128" s="16">
        <v>92.724285714285713</v>
      </c>
      <c r="C128" s="19">
        <v>1.11982</v>
      </c>
      <c r="D128" s="18">
        <f t="shared" si="5"/>
        <v>0.89300066082048901</v>
      </c>
      <c r="E128" s="18">
        <f t="shared" si="6"/>
        <v>82.802848416964977</v>
      </c>
      <c r="F128" s="18">
        <f t="shared" si="9"/>
        <v>16.330456272883097</v>
      </c>
      <c r="G128" s="18">
        <f t="shared" si="7"/>
        <v>-11.6500096034351</v>
      </c>
      <c r="H128" s="18">
        <f t="shared" si="8"/>
        <v>36.38399878177637</v>
      </c>
      <c r="I128">
        <v>106</v>
      </c>
    </row>
    <row r="129" spans="1:9" x14ac:dyDescent="0.2">
      <c r="A129" s="20">
        <v>43611</v>
      </c>
      <c r="B129" s="16">
        <v>96.597142857142856</v>
      </c>
      <c r="C129" s="19">
        <v>1.1170599999999999</v>
      </c>
      <c r="D129" s="18">
        <f t="shared" si="5"/>
        <v>0.89520706139330031</v>
      </c>
      <c r="E129" s="18">
        <f t="shared" si="6"/>
        <v>86.474444396131688</v>
      </c>
      <c r="F129" s="18">
        <f t="shared" si="9"/>
        <v>34.111826244809798</v>
      </c>
      <c r="G129" s="18">
        <f t="shared" si="7"/>
        <v>-11.6500096034351</v>
      </c>
      <c r="H129" s="18">
        <f t="shared" si="8"/>
        <v>36.38399878177637</v>
      </c>
      <c r="I129">
        <v>106.4</v>
      </c>
    </row>
    <row r="130" spans="1:9" x14ac:dyDescent="0.2">
      <c r="A130" s="20">
        <v>43618</v>
      </c>
      <c r="B130" s="16">
        <v>113.69</v>
      </c>
      <c r="C130" s="19">
        <v>1.1150500000000001</v>
      </c>
      <c r="D130" s="18">
        <f t="shared" si="5"/>
        <v>0.89682077036904162</v>
      </c>
      <c r="E130" s="18">
        <f t="shared" si="6"/>
        <v>101.95955338325633</v>
      </c>
      <c r="F130" s="18">
        <f t="shared" si="9"/>
        <v>55.419459475986102</v>
      </c>
      <c r="G130" s="18">
        <f t="shared" si="7"/>
        <v>-11.6500096034351</v>
      </c>
      <c r="H130" s="18">
        <f t="shared" si="8"/>
        <v>36.38399878177637</v>
      </c>
      <c r="I130">
        <v>106.4</v>
      </c>
    </row>
    <row r="131" spans="1:9" x14ac:dyDescent="0.2">
      <c r="A131" s="20">
        <v>43625</v>
      </c>
      <c r="B131" s="16">
        <v>110.22571428571429</v>
      </c>
      <c r="C131" s="19">
        <v>1.1260399999999999</v>
      </c>
      <c r="D131" s="18">
        <f t="shared" si="5"/>
        <v>0.88806791943447838</v>
      </c>
      <c r="E131" s="18">
        <f t="shared" si="6"/>
        <v>97.887920753893553</v>
      </c>
      <c r="F131" s="18">
        <f t="shared" si="9"/>
        <v>40.994973137502996</v>
      </c>
      <c r="G131" s="18">
        <f t="shared" si="7"/>
        <v>-11.6500096034351</v>
      </c>
      <c r="H131" s="18">
        <f t="shared" si="8"/>
        <v>36.38399878177637</v>
      </c>
      <c r="I131">
        <v>106.4</v>
      </c>
    </row>
    <row r="132" spans="1:9" x14ac:dyDescent="0.2">
      <c r="A132" s="20">
        <v>43632</v>
      </c>
      <c r="B132" s="16">
        <v>134.61142857142858</v>
      </c>
      <c r="C132" s="19">
        <v>1.1285799999999999</v>
      </c>
      <c r="D132" s="18">
        <f t="shared" si="5"/>
        <v>0.88606921972744512</v>
      </c>
      <c r="E132" s="18">
        <f t="shared" si="6"/>
        <v>119.27504348068243</v>
      </c>
      <c r="F132" s="18">
        <f t="shared" si="9"/>
        <v>44.047029493546844</v>
      </c>
      <c r="G132" s="18">
        <f t="shared" si="7"/>
        <v>-11.6500096034351</v>
      </c>
      <c r="H132" s="18">
        <f t="shared" si="8"/>
        <v>36.38399878177637</v>
      </c>
      <c r="I132">
        <v>106.4</v>
      </c>
    </row>
    <row r="133" spans="1:9" x14ac:dyDescent="0.2">
      <c r="A133" s="20">
        <v>43639</v>
      </c>
      <c r="B133" s="16">
        <v>137.00571428571428</v>
      </c>
      <c r="C133" s="19">
        <v>1.12514</v>
      </c>
      <c r="D133" s="18">
        <f t="shared" si="5"/>
        <v>0.88877828536893189</v>
      </c>
      <c r="E133" s="18">
        <f t="shared" si="6"/>
        <v>121.7677038286029</v>
      </c>
      <c r="F133" s="18">
        <f t="shared" si="9"/>
        <v>40.813513956558033</v>
      </c>
      <c r="G133" s="18">
        <f t="shared" si="7"/>
        <v>-11.6500096034351</v>
      </c>
      <c r="H133" s="18">
        <f t="shared" si="8"/>
        <v>36.38399878177637</v>
      </c>
      <c r="I133">
        <v>106.3</v>
      </c>
    </row>
    <row r="134" spans="1:9" x14ac:dyDescent="0.2">
      <c r="A134" s="20">
        <v>43646</v>
      </c>
      <c r="B134" s="16">
        <v>127.21714285714286</v>
      </c>
      <c r="C134" s="19">
        <v>1.1383000000000001</v>
      </c>
      <c r="D134" s="18">
        <f t="shared" si="5"/>
        <v>0.87850303083545633</v>
      </c>
      <c r="E134" s="18">
        <f t="shared" si="6"/>
        <v>111.76064557422723</v>
      </c>
      <c r="F134" s="18">
        <f t="shared" si="9"/>
        <v>9.6127256993069778</v>
      </c>
      <c r="G134" s="18">
        <f t="shared" si="7"/>
        <v>-11.6500096034351</v>
      </c>
      <c r="H134" s="18">
        <f t="shared" si="8"/>
        <v>36.38399878177637</v>
      </c>
      <c r="I134">
        <v>106.3</v>
      </c>
    </row>
    <row r="135" spans="1:9" x14ac:dyDescent="0.2">
      <c r="A135" s="20">
        <v>43653</v>
      </c>
      <c r="B135" s="16">
        <v>119.93857142857142</v>
      </c>
      <c r="C135" s="19">
        <v>1.127475</v>
      </c>
      <c r="D135" s="18">
        <f t="shared" si="5"/>
        <v>0.88693762611144367</v>
      </c>
      <c r="E135" s="18">
        <f t="shared" si="6"/>
        <v>106.37803182205496</v>
      </c>
      <c r="F135" s="18">
        <f t="shared" si="9"/>
        <v>8.6732979950682179</v>
      </c>
      <c r="G135" s="18">
        <f t="shared" si="7"/>
        <v>-11.6500096034351</v>
      </c>
      <c r="H135" s="18">
        <f t="shared" si="8"/>
        <v>36.38399878177637</v>
      </c>
      <c r="I135">
        <v>106.3</v>
      </c>
    </row>
    <row r="136" spans="1:9" x14ac:dyDescent="0.2">
      <c r="A136" s="20">
        <v>43660</v>
      </c>
      <c r="B136" s="16">
        <v>107.12714285714286</v>
      </c>
      <c r="C136" s="19">
        <v>1.1238600000000001</v>
      </c>
      <c r="D136" s="18">
        <f t="shared" si="5"/>
        <v>0.88979054330610563</v>
      </c>
      <c r="E136" s="18">
        <f t="shared" si="6"/>
        <v>95.320718645687933</v>
      </c>
      <c r="F136" s="18">
        <f t="shared" si="9"/>
        <v>-20.083266487238038</v>
      </c>
      <c r="G136" s="18">
        <f t="shared" si="7"/>
        <v>-11.6500096034351</v>
      </c>
      <c r="H136" s="18">
        <f t="shared" si="8"/>
        <v>36.38399878177637</v>
      </c>
      <c r="I136">
        <v>106.3</v>
      </c>
    </row>
    <row r="137" spans="1:9" x14ac:dyDescent="0.2">
      <c r="A137" s="20">
        <v>43667</v>
      </c>
      <c r="B137" s="16">
        <v>94.411428571428573</v>
      </c>
      <c r="C137" s="19">
        <v>1.12304</v>
      </c>
      <c r="D137" s="18">
        <f t="shared" si="5"/>
        <v>0.89044023365151725</v>
      </c>
      <c r="E137" s="18">
        <f t="shared" si="6"/>
        <v>84.067734516516396</v>
      </c>
      <c r="F137" s="18">
        <f t="shared" si="9"/>
        <v>-30.960565180034948</v>
      </c>
      <c r="G137" s="18">
        <f t="shared" si="7"/>
        <v>-11.6500096034351</v>
      </c>
      <c r="H137" s="18">
        <f t="shared" si="8"/>
        <v>36.38399878177637</v>
      </c>
      <c r="I137">
        <v>106.2</v>
      </c>
    </row>
    <row r="138" spans="1:9" x14ac:dyDescent="0.2">
      <c r="A138" s="20">
        <v>43674</v>
      </c>
      <c r="B138" s="16">
        <v>92.138571428571424</v>
      </c>
      <c r="C138" s="19">
        <v>1.1157600000000001</v>
      </c>
      <c r="D138" s="18">
        <f t="shared" si="5"/>
        <v>0.89625008962500885</v>
      </c>
      <c r="E138" s="18">
        <f t="shared" si="6"/>
        <v>82.579202900777418</v>
      </c>
      <c r="F138" s="18">
        <f t="shared" si="9"/>
        <v>-26.110660441799784</v>
      </c>
      <c r="G138" s="18">
        <f t="shared" si="7"/>
        <v>-11.6500096034351</v>
      </c>
      <c r="H138" s="18">
        <f t="shared" si="8"/>
        <v>36.38399878177637</v>
      </c>
      <c r="I138">
        <v>106.2</v>
      </c>
    </row>
    <row r="139" spans="1:9" x14ac:dyDescent="0.2">
      <c r="A139" s="20">
        <v>43681</v>
      </c>
      <c r="B139" s="16">
        <v>94.344285714285718</v>
      </c>
      <c r="C139" s="19">
        <v>1.11188</v>
      </c>
      <c r="D139" s="18">
        <f t="shared" si="5"/>
        <v>0.89937763067956977</v>
      </c>
      <c r="E139" s="18">
        <f t="shared" si="6"/>
        <v>84.851140153870674</v>
      </c>
      <c r="F139" s="18">
        <f t="shared" si="9"/>
        <v>-20.236219169944448</v>
      </c>
      <c r="G139" s="18">
        <f t="shared" si="7"/>
        <v>-11.6500096034351</v>
      </c>
      <c r="H139" s="18">
        <f t="shared" si="8"/>
        <v>36.38399878177637</v>
      </c>
      <c r="I139">
        <v>106.2</v>
      </c>
    </row>
    <row r="140" spans="1:9" x14ac:dyDescent="0.2">
      <c r="A140" s="20">
        <v>43688</v>
      </c>
      <c r="B140" s="16">
        <v>89.925714285714292</v>
      </c>
      <c r="C140" s="19">
        <v>1.1212200000000001</v>
      </c>
      <c r="D140" s="18">
        <f t="shared" si="5"/>
        <v>0.89188562458750287</v>
      </c>
      <c r="E140" s="18">
        <f t="shared" si="6"/>
        <v>80.20345185219162</v>
      </c>
      <c r="F140" s="18">
        <f t="shared" si="9"/>
        <v>-15.85937140244188</v>
      </c>
      <c r="G140" s="18">
        <f t="shared" si="7"/>
        <v>-11.6500096034351</v>
      </c>
      <c r="H140" s="18">
        <f t="shared" si="8"/>
        <v>36.38399878177637</v>
      </c>
      <c r="I140">
        <v>106.2</v>
      </c>
    </row>
    <row r="141" spans="1:9" x14ac:dyDescent="0.2">
      <c r="A141" s="20">
        <v>43695</v>
      </c>
      <c r="B141" s="16">
        <v>78.061428571428578</v>
      </c>
      <c r="C141" s="19">
        <v>1.1147</v>
      </c>
      <c r="D141" s="18">
        <f t="shared" ref="D141:D204" si="10">1/C141</f>
        <v>0.89710235937920513</v>
      </c>
      <c r="E141" s="18">
        <f t="shared" ref="E141:E204" si="11">B141*D141</f>
        <v>70.029091747939873</v>
      </c>
      <c r="F141" s="18">
        <f t="shared" si="9"/>
        <v>-16.699204337210272</v>
      </c>
      <c r="G141" s="18">
        <f t="shared" si="7"/>
        <v>-11.6500096034351</v>
      </c>
      <c r="H141" s="18">
        <f t="shared" si="8"/>
        <v>36.38399878177637</v>
      </c>
      <c r="I141">
        <v>106.3</v>
      </c>
    </row>
    <row r="142" spans="1:9" x14ac:dyDescent="0.2">
      <c r="A142" s="20">
        <v>43702</v>
      </c>
      <c r="B142" s="16">
        <v>74.315714285714279</v>
      </c>
      <c r="C142" s="19">
        <v>1.11046</v>
      </c>
      <c r="D142" s="18">
        <f t="shared" si="10"/>
        <v>0.90052770923761327</v>
      </c>
      <c r="E142" s="18">
        <f t="shared" si="11"/>
        <v>66.923359946071244</v>
      </c>
      <c r="F142" s="18">
        <f t="shared" si="9"/>
        <v>-18.95857843713673</v>
      </c>
      <c r="G142" s="18">
        <f t="shared" si="7"/>
        <v>-11.6500096034351</v>
      </c>
      <c r="H142" s="18">
        <f t="shared" si="8"/>
        <v>36.38399878177637</v>
      </c>
      <c r="I142">
        <v>106.3</v>
      </c>
    </row>
    <row r="143" spans="1:9" x14ac:dyDescent="0.2">
      <c r="A143" s="20">
        <v>43709</v>
      </c>
      <c r="B143" s="16">
        <v>67.324285714285708</v>
      </c>
      <c r="C143" s="19">
        <v>1.10676</v>
      </c>
      <c r="D143" s="18">
        <f t="shared" si="10"/>
        <v>0.903538255809751</v>
      </c>
      <c r="E143" s="18">
        <f t="shared" si="11"/>
        <v>60.830067687923048</v>
      </c>
      <c r="F143" s="18">
        <f t="shared" si="9"/>
        <v>-28.30966375040731</v>
      </c>
      <c r="G143" s="18">
        <f t="shared" si="7"/>
        <v>-11.6500096034351</v>
      </c>
      <c r="H143" s="18">
        <f t="shared" si="8"/>
        <v>36.38399878177637</v>
      </c>
      <c r="I143">
        <v>106.3</v>
      </c>
    </row>
    <row r="144" spans="1:9" x14ac:dyDescent="0.2">
      <c r="A144" s="20">
        <v>43716</v>
      </c>
      <c r="B144" s="16">
        <v>67.581428571428575</v>
      </c>
      <c r="C144" s="19">
        <v>1.1018250000000001</v>
      </c>
      <c r="D144" s="18">
        <f t="shared" si="10"/>
        <v>0.90758514283121183</v>
      </c>
      <c r="E144" s="18">
        <f t="shared" si="11"/>
        <v>61.335900502737346</v>
      </c>
      <c r="F144" s="18">
        <f t="shared" si="9"/>
        <v>-23.524612611718531</v>
      </c>
      <c r="G144" s="18">
        <f t="shared" ref="G144:G207" si="12">G$272</f>
        <v>-11.6500096034351</v>
      </c>
      <c r="H144" s="18">
        <f t="shared" ref="H144:H207" si="13">H$272</f>
        <v>36.38399878177637</v>
      </c>
      <c r="I144">
        <v>106.3</v>
      </c>
    </row>
    <row r="145" spans="1:9" x14ac:dyDescent="0.2">
      <c r="A145" s="20">
        <v>43723</v>
      </c>
      <c r="B145" s="16">
        <v>69.968571428571423</v>
      </c>
      <c r="C145" s="19">
        <v>1.10494</v>
      </c>
      <c r="D145" s="18">
        <f t="shared" si="10"/>
        <v>0.90502651727695616</v>
      </c>
      <c r="E145" s="18">
        <f t="shared" si="11"/>
        <v>63.323412518843938</v>
      </c>
      <c r="F145" s="18">
        <f t="shared" ref="F145:F208" si="14">(E145/E141-1)*100</f>
        <v>-9.5755621866867919</v>
      </c>
      <c r="G145" s="18">
        <f t="shared" si="12"/>
        <v>-11.6500096034351</v>
      </c>
      <c r="H145" s="18">
        <f t="shared" si="13"/>
        <v>36.38399878177637</v>
      </c>
      <c r="I145">
        <v>105.4</v>
      </c>
    </row>
    <row r="146" spans="1:9" x14ac:dyDescent="0.2">
      <c r="A146" s="20">
        <v>43730</v>
      </c>
      <c r="B146" s="16">
        <v>74.608571428571423</v>
      </c>
      <c r="C146" s="19">
        <v>1.1035999999999999</v>
      </c>
      <c r="D146" s="18">
        <f t="shared" si="10"/>
        <v>0.90612540775643358</v>
      </c>
      <c r="E146" s="18">
        <f t="shared" si="11"/>
        <v>67.604722207839288</v>
      </c>
      <c r="F146" s="18">
        <f t="shared" si="14"/>
        <v>1.0181232118606998</v>
      </c>
      <c r="G146" s="18">
        <f t="shared" si="12"/>
        <v>-11.6500096034351</v>
      </c>
      <c r="H146" s="18">
        <f t="shared" si="13"/>
        <v>36.38399878177637</v>
      </c>
      <c r="I146">
        <v>105.4</v>
      </c>
    </row>
    <row r="147" spans="1:9" x14ac:dyDescent="0.2">
      <c r="A147" s="20">
        <v>43737</v>
      </c>
      <c r="B147" s="16">
        <v>57.231428571428573</v>
      </c>
      <c r="C147" s="19">
        <v>1.0963799999999999</v>
      </c>
      <c r="D147" s="18">
        <f t="shared" si="10"/>
        <v>0.91209252266549923</v>
      </c>
      <c r="E147" s="18">
        <f t="shared" si="11"/>
        <v>52.200358061464613</v>
      </c>
      <c r="F147" s="18">
        <f t="shared" si="14"/>
        <v>-14.186585605545432</v>
      </c>
      <c r="G147" s="18">
        <f t="shared" si="12"/>
        <v>-11.6500096034351</v>
      </c>
      <c r="H147" s="18">
        <f t="shared" si="13"/>
        <v>36.38399878177637</v>
      </c>
      <c r="I147">
        <v>105.4</v>
      </c>
    </row>
    <row r="148" spans="1:9" x14ac:dyDescent="0.2">
      <c r="A148" s="20">
        <v>43744</v>
      </c>
      <c r="B148" s="16">
        <v>56.134285714285717</v>
      </c>
      <c r="C148" s="19">
        <v>1.0950599999999999</v>
      </c>
      <c r="D148" s="18">
        <f t="shared" si="10"/>
        <v>0.91319197121618911</v>
      </c>
      <c r="E148" s="18">
        <f t="shared" si="11"/>
        <v>51.261379024241336</v>
      </c>
      <c r="F148" s="18">
        <f t="shared" si="14"/>
        <v>-16.425162744690436</v>
      </c>
      <c r="G148" s="18">
        <f t="shared" si="12"/>
        <v>-11.6500096034351</v>
      </c>
      <c r="H148" s="18">
        <f t="shared" si="13"/>
        <v>36.38399878177637</v>
      </c>
      <c r="I148">
        <v>105.4</v>
      </c>
    </row>
    <row r="149" spans="1:9" x14ac:dyDescent="0.2">
      <c r="A149" s="20">
        <v>43751</v>
      </c>
      <c r="B149" s="16">
        <v>57.12</v>
      </c>
      <c r="C149" s="19">
        <v>1.0993599999999999</v>
      </c>
      <c r="D149" s="18">
        <f t="shared" si="10"/>
        <v>0.90962014262843849</v>
      </c>
      <c r="E149" s="18">
        <f t="shared" si="11"/>
        <v>51.957502546936404</v>
      </c>
      <c r="F149" s="18">
        <f t="shared" si="14"/>
        <v>-17.948985248584382</v>
      </c>
      <c r="G149" s="18">
        <f t="shared" si="12"/>
        <v>-11.6500096034351</v>
      </c>
      <c r="H149" s="18">
        <f t="shared" si="13"/>
        <v>36.38399878177637</v>
      </c>
      <c r="I149">
        <v>106</v>
      </c>
    </row>
    <row r="150" spans="1:9" x14ac:dyDescent="0.2">
      <c r="A150" s="20">
        <v>43758</v>
      </c>
      <c r="B150" s="16">
        <v>54.438571428571429</v>
      </c>
      <c r="C150" s="19">
        <v>1.1098749999999999</v>
      </c>
      <c r="D150" s="18">
        <f t="shared" si="10"/>
        <v>0.90100236513120846</v>
      </c>
      <c r="E150" s="18">
        <f t="shared" si="11"/>
        <v>49.049281611507084</v>
      </c>
      <c r="F150" s="18">
        <f t="shared" si="14"/>
        <v>-27.446959310455622</v>
      </c>
      <c r="G150" s="18">
        <f t="shared" si="12"/>
        <v>-11.6500096034351</v>
      </c>
      <c r="H150" s="18">
        <f t="shared" si="13"/>
        <v>36.38399878177637</v>
      </c>
      <c r="I150">
        <v>106</v>
      </c>
    </row>
    <row r="151" spans="1:9" x14ac:dyDescent="0.2">
      <c r="A151" s="20">
        <v>43765</v>
      </c>
      <c r="B151" s="16">
        <v>54.471428571428568</v>
      </c>
      <c r="C151" s="19">
        <v>1.1115999999999999</v>
      </c>
      <c r="D151" s="18">
        <f t="shared" si="10"/>
        <v>0.89960417416336813</v>
      </c>
      <c r="E151" s="18">
        <f t="shared" si="11"/>
        <v>49.00272451549889</v>
      </c>
      <c r="F151" s="18">
        <f t="shared" si="14"/>
        <v>-6.1256927437175595</v>
      </c>
      <c r="G151" s="18">
        <f t="shared" si="12"/>
        <v>-11.6500096034351</v>
      </c>
      <c r="H151" s="18">
        <f t="shared" si="13"/>
        <v>36.38399878177637</v>
      </c>
      <c r="I151">
        <v>106</v>
      </c>
    </row>
    <row r="152" spans="1:9" x14ac:dyDescent="0.2">
      <c r="A152" s="20">
        <v>43772</v>
      </c>
      <c r="B152" s="16">
        <v>58.495714285714286</v>
      </c>
      <c r="C152" s="19">
        <v>1.1131599999999999</v>
      </c>
      <c r="D152" s="18">
        <f t="shared" si="10"/>
        <v>0.89834345466958931</v>
      </c>
      <c r="E152" s="18">
        <f t="shared" si="11"/>
        <v>52.549242054793822</v>
      </c>
      <c r="F152" s="18">
        <f t="shared" si="14"/>
        <v>2.5123456587920812</v>
      </c>
      <c r="G152" s="18">
        <f t="shared" si="12"/>
        <v>-11.6500096034351</v>
      </c>
      <c r="H152" s="18">
        <f t="shared" si="13"/>
        <v>36.38399878177637</v>
      </c>
      <c r="I152">
        <v>106</v>
      </c>
    </row>
    <row r="153" spans="1:9" x14ac:dyDescent="0.2">
      <c r="A153" s="20">
        <v>43779</v>
      </c>
      <c r="B153" s="16">
        <v>62.32714285714286</v>
      </c>
      <c r="C153" s="19">
        <v>1.1070800000000001</v>
      </c>
      <c r="D153" s="18">
        <f t="shared" si="10"/>
        <v>0.90327708927990746</v>
      </c>
      <c r="E153" s="18">
        <f t="shared" si="11"/>
        <v>56.29868018313298</v>
      </c>
      <c r="F153" s="18">
        <f t="shared" si="14"/>
        <v>8.3552469294976728</v>
      </c>
      <c r="G153" s="18">
        <f t="shared" si="12"/>
        <v>-11.6500096034351</v>
      </c>
      <c r="H153" s="18">
        <f t="shared" si="13"/>
        <v>36.38399878177637</v>
      </c>
      <c r="I153">
        <v>105.1</v>
      </c>
    </row>
    <row r="154" spans="1:9" x14ac:dyDescent="0.2">
      <c r="A154" s="20">
        <v>43786</v>
      </c>
      <c r="B154" s="16">
        <v>59.715714285714284</v>
      </c>
      <c r="C154" s="19">
        <v>1.1020749999999999</v>
      </c>
      <c r="D154" s="18">
        <f t="shared" si="10"/>
        <v>0.9073792618469706</v>
      </c>
      <c r="E154" s="18">
        <f t="shared" si="11"/>
        <v>54.184800749236025</v>
      </c>
      <c r="F154" s="18">
        <f t="shared" si="14"/>
        <v>10.470121006877564</v>
      </c>
      <c r="G154" s="18">
        <f t="shared" si="12"/>
        <v>-11.6500096034351</v>
      </c>
      <c r="H154" s="18">
        <f t="shared" si="13"/>
        <v>36.38399878177637</v>
      </c>
      <c r="I154">
        <v>105.1</v>
      </c>
    </row>
    <row r="155" spans="1:9" x14ac:dyDescent="0.2">
      <c r="A155" s="20">
        <v>43793</v>
      </c>
      <c r="B155" s="16">
        <v>50.844285714285711</v>
      </c>
      <c r="C155" s="19">
        <v>1.10626</v>
      </c>
      <c r="D155" s="18">
        <f t="shared" si="10"/>
        <v>0.90394663099090633</v>
      </c>
      <c r="E155" s="18">
        <f t="shared" si="11"/>
        <v>45.960520776567634</v>
      </c>
      <c r="F155" s="18">
        <f t="shared" si="14"/>
        <v>-6.2082338666068377</v>
      </c>
      <c r="G155" s="18">
        <f t="shared" si="12"/>
        <v>-11.6500096034351</v>
      </c>
      <c r="H155" s="18">
        <f t="shared" si="13"/>
        <v>36.38399878177637</v>
      </c>
      <c r="I155">
        <v>105.1</v>
      </c>
    </row>
    <row r="156" spans="1:9" x14ac:dyDescent="0.2">
      <c r="A156" s="20">
        <v>43800</v>
      </c>
      <c r="B156" s="16">
        <v>47.237142857142857</v>
      </c>
      <c r="C156" s="19">
        <v>1.1010500000000001</v>
      </c>
      <c r="D156" s="18">
        <f t="shared" si="10"/>
        <v>0.9082239680305163</v>
      </c>
      <c r="E156" s="18">
        <f t="shared" si="11"/>
        <v>42.901905324138646</v>
      </c>
      <c r="F156" s="18">
        <f t="shared" si="14"/>
        <v>-18.358660093699854</v>
      </c>
      <c r="G156" s="18">
        <f t="shared" si="12"/>
        <v>-11.6500096034351</v>
      </c>
      <c r="H156" s="18">
        <f t="shared" si="13"/>
        <v>36.38399878177637</v>
      </c>
      <c r="I156">
        <v>105.1</v>
      </c>
    </row>
    <row r="157" spans="1:9" x14ac:dyDescent="0.2">
      <c r="A157" s="20">
        <v>43807</v>
      </c>
      <c r="B157" s="16">
        <v>45.16</v>
      </c>
      <c r="C157" s="19">
        <v>1.10792</v>
      </c>
      <c r="D157" s="18">
        <f t="shared" si="10"/>
        <v>0.90259224492743162</v>
      </c>
      <c r="E157" s="18">
        <f t="shared" si="11"/>
        <v>40.761065780922806</v>
      </c>
      <c r="F157" s="18">
        <f t="shared" si="14"/>
        <v>-27.598541123287688</v>
      </c>
      <c r="G157" s="18">
        <f t="shared" si="12"/>
        <v>-11.6500096034351</v>
      </c>
      <c r="H157" s="18">
        <f t="shared" si="13"/>
        <v>36.38399878177637</v>
      </c>
      <c r="I157">
        <v>105.7</v>
      </c>
    </row>
    <row r="158" spans="1:9" x14ac:dyDescent="0.2">
      <c r="A158" s="20">
        <v>43814</v>
      </c>
      <c r="B158" s="16">
        <v>43.892857142857146</v>
      </c>
      <c r="C158" s="19">
        <v>1.1098399999999999</v>
      </c>
      <c r="D158" s="18">
        <f t="shared" si="10"/>
        <v>0.90103077921141794</v>
      </c>
      <c r="E158" s="18">
        <f t="shared" si="11"/>
        <v>39.548815273244024</v>
      </c>
      <c r="F158" s="18">
        <f t="shared" si="14"/>
        <v>-27.011237973775071</v>
      </c>
      <c r="G158" s="18">
        <f t="shared" si="12"/>
        <v>-11.6500096034351</v>
      </c>
      <c r="H158" s="18">
        <f t="shared" si="13"/>
        <v>36.38399878177637</v>
      </c>
      <c r="I158">
        <v>105.7</v>
      </c>
    </row>
    <row r="159" spans="1:9" x14ac:dyDescent="0.2">
      <c r="A159" s="20">
        <v>43821</v>
      </c>
      <c r="B159" s="16">
        <v>39.918571428571425</v>
      </c>
      <c r="C159" s="19">
        <v>1.11208</v>
      </c>
      <c r="D159" s="18">
        <f t="shared" si="10"/>
        <v>0.89921588374937056</v>
      </c>
      <c r="E159" s="18">
        <f t="shared" si="11"/>
        <v>35.895413485155231</v>
      </c>
      <c r="F159" s="18">
        <f t="shared" si="14"/>
        <v>-21.899463107354443</v>
      </c>
      <c r="G159" s="18">
        <f t="shared" si="12"/>
        <v>-11.6500096034351</v>
      </c>
      <c r="H159" s="18">
        <f t="shared" si="13"/>
        <v>36.38399878177637</v>
      </c>
      <c r="I159">
        <v>105.7</v>
      </c>
    </row>
    <row r="160" spans="1:9" x14ac:dyDescent="0.2">
      <c r="A160" s="20">
        <v>43828</v>
      </c>
      <c r="B160" s="16">
        <v>41.082857142857144</v>
      </c>
      <c r="C160" s="19">
        <v>1.111275</v>
      </c>
      <c r="D160" s="18">
        <f t="shared" si="10"/>
        <v>0.89986726957773733</v>
      </c>
      <c r="E160" s="18">
        <f t="shared" si="11"/>
        <v>36.969118483595103</v>
      </c>
      <c r="F160" s="18">
        <f t="shared" si="14"/>
        <v>-13.828725777373519</v>
      </c>
      <c r="G160" s="18">
        <f t="shared" si="12"/>
        <v>-11.6500096034351</v>
      </c>
      <c r="H160" s="18">
        <f t="shared" si="13"/>
        <v>36.38399878177637</v>
      </c>
      <c r="I160">
        <v>105.7</v>
      </c>
    </row>
    <row r="161" spans="1:9" x14ac:dyDescent="0.2">
      <c r="A161" s="20">
        <v>43835</v>
      </c>
      <c r="B161" s="16">
        <v>41.751428571428569</v>
      </c>
      <c r="C161" s="19">
        <v>1.119575</v>
      </c>
      <c r="D161" s="18">
        <f t="shared" si="10"/>
        <v>0.89319607886921382</v>
      </c>
      <c r="E161" s="18">
        <f t="shared" si="11"/>
        <v>37.292212287188057</v>
      </c>
      <c r="F161" s="18">
        <f t="shared" si="14"/>
        <v>-8.5102129379508451</v>
      </c>
      <c r="G161" s="18">
        <f t="shared" si="12"/>
        <v>-11.6500096034351</v>
      </c>
      <c r="H161" s="18">
        <f t="shared" si="13"/>
        <v>36.38399878177637</v>
      </c>
      <c r="I161">
        <v>105.8</v>
      </c>
    </row>
    <row r="162" spans="1:9" x14ac:dyDescent="0.2">
      <c r="A162" s="20">
        <v>43842</v>
      </c>
      <c r="B162" s="16">
        <v>47.427142857142854</v>
      </c>
      <c r="C162" s="19">
        <v>1.11334</v>
      </c>
      <c r="D162" s="18">
        <f t="shared" si="10"/>
        <v>0.8981982143819498</v>
      </c>
      <c r="E162" s="18">
        <f t="shared" si="11"/>
        <v>42.598975027523359</v>
      </c>
      <c r="F162" s="18">
        <f t="shared" si="14"/>
        <v>7.7123922251670196</v>
      </c>
      <c r="G162" s="18">
        <f t="shared" si="12"/>
        <v>-11.6500096034351</v>
      </c>
      <c r="H162" s="18">
        <f t="shared" si="13"/>
        <v>36.38399878177637</v>
      </c>
      <c r="I162">
        <v>105.8</v>
      </c>
    </row>
    <row r="163" spans="1:9" x14ac:dyDescent="0.2">
      <c r="A163" s="20">
        <v>43849</v>
      </c>
      <c r="B163" s="16">
        <v>57.26</v>
      </c>
      <c r="C163" s="19">
        <v>1.11304</v>
      </c>
      <c r="D163" s="18">
        <f t="shared" si="10"/>
        <v>0.89844030762596128</v>
      </c>
      <c r="E163" s="18">
        <f t="shared" si="11"/>
        <v>51.444692014662543</v>
      </c>
      <c r="F163" s="18">
        <f t="shared" si="14"/>
        <v>43.318287825094458</v>
      </c>
      <c r="G163" s="18">
        <f t="shared" si="12"/>
        <v>-11.6500096034351</v>
      </c>
      <c r="H163" s="18">
        <f t="shared" si="13"/>
        <v>36.38399878177637</v>
      </c>
      <c r="I163">
        <v>105.8</v>
      </c>
    </row>
    <row r="164" spans="1:9" x14ac:dyDescent="0.2">
      <c r="A164" s="20">
        <v>43856</v>
      </c>
      <c r="B164" s="16">
        <v>55.804285714285712</v>
      </c>
      <c r="C164" s="19">
        <v>1.1062000000000001</v>
      </c>
      <c r="D164" s="18">
        <f t="shared" si="10"/>
        <v>0.90399566082082805</v>
      </c>
      <c r="E164" s="18">
        <f t="shared" si="11"/>
        <v>50.446832140920009</v>
      </c>
      <c r="F164" s="18">
        <f t="shared" si="14"/>
        <v>36.456681171084959</v>
      </c>
      <c r="G164" s="18">
        <f t="shared" si="12"/>
        <v>-11.6500096034351</v>
      </c>
      <c r="H164" s="18">
        <f t="shared" si="13"/>
        <v>36.38399878177637</v>
      </c>
      <c r="I164">
        <v>105.8</v>
      </c>
    </row>
    <row r="165" spans="1:9" x14ac:dyDescent="0.2">
      <c r="A165" s="20">
        <v>43863</v>
      </c>
      <c r="B165" s="16">
        <v>64.962857142857146</v>
      </c>
      <c r="C165" s="19">
        <v>1.1029</v>
      </c>
      <c r="D165" s="18">
        <f t="shared" si="10"/>
        <v>0.90670051681929464</v>
      </c>
      <c r="E165" s="18">
        <f t="shared" si="11"/>
        <v>58.901856145486583</v>
      </c>
      <c r="F165" s="18">
        <f t="shared" si="14"/>
        <v>57.946800505913231</v>
      </c>
      <c r="G165" s="18">
        <f t="shared" si="12"/>
        <v>-11.6500096034351</v>
      </c>
      <c r="H165" s="18">
        <f t="shared" si="13"/>
        <v>36.38399878177637</v>
      </c>
      <c r="I165">
        <v>106.2</v>
      </c>
    </row>
    <row r="166" spans="1:9" x14ac:dyDescent="0.2">
      <c r="A166" s="20">
        <v>43870</v>
      </c>
      <c r="B166" s="16">
        <v>73.065714285714279</v>
      </c>
      <c r="C166" s="19">
        <v>1.1008</v>
      </c>
      <c r="D166" s="18">
        <f t="shared" si="10"/>
        <v>0.90843023255813948</v>
      </c>
      <c r="E166" s="18">
        <f t="shared" si="11"/>
        <v>66.375103820598</v>
      </c>
      <c r="F166" s="18">
        <f t="shared" si="14"/>
        <v>55.813851806792989</v>
      </c>
      <c r="G166" s="18">
        <f t="shared" si="12"/>
        <v>-11.6500096034351</v>
      </c>
      <c r="H166" s="18">
        <f t="shared" si="13"/>
        <v>36.38399878177637</v>
      </c>
      <c r="I166">
        <v>106.2</v>
      </c>
    </row>
    <row r="167" spans="1:9" x14ac:dyDescent="0.2">
      <c r="A167" s="20">
        <v>43877</v>
      </c>
      <c r="B167" s="16">
        <v>78.192857142857136</v>
      </c>
      <c r="C167" s="19">
        <v>1.08826</v>
      </c>
      <c r="D167" s="18">
        <f t="shared" si="10"/>
        <v>0.91889805744950659</v>
      </c>
      <c r="E167" s="18">
        <f t="shared" si="11"/>
        <v>71.851264534998194</v>
      </c>
      <c r="F167" s="18">
        <f t="shared" si="14"/>
        <v>39.667012710503656</v>
      </c>
      <c r="G167" s="18">
        <f t="shared" si="12"/>
        <v>-11.6500096034351</v>
      </c>
      <c r="H167" s="18">
        <f t="shared" si="13"/>
        <v>36.38399878177637</v>
      </c>
      <c r="I167">
        <v>106.2</v>
      </c>
    </row>
    <row r="168" spans="1:9" x14ac:dyDescent="0.2">
      <c r="A168" s="20">
        <v>43884</v>
      </c>
      <c r="B168" s="16">
        <v>74.09</v>
      </c>
      <c r="C168" s="19">
        <v>1.0815250000000001</v>
      </c>
      <c r="D168" s="18">
        <f t="shared" si="10"/>
        <v>0.92462032777790615</v>
      </c>
      <c r="E168" s="18">
        <f t="shared" si="11"/>
        <v>68.505120085065073</v>
      </c>
      <c r="F168" s="18">
        <f t="shared" si="14"/>
        <v>35.79667380044873</v>
      </c>
      <c r="G168" s="18">
        <f t="shared" si="12"/>
        <v>-11.6500096034351</v>
      </c>
      <c r="H168" s="18">
        <f t="shared" si="13"/>
        <v>36.38399878177637</v>
      </c>
      <c r="I168">
        <v>106.2</v>
      </c>
    </row>
    <row r="169" spans="1:9" x14ac:dyDescent="0.2">
      <c r="A169" s="20">
        <v>43891</v>
      </c>
      <c r="B169" s="16">
        <v>63.544285714285714</v>
      </c>
      <c r="C169" s="19">
        <v>1.0918000000000001</v>
      </c>
      <c r="D169" s="18">
        <f t="shared" si="10"/>
        <v>0.91591866642242159</v>
      </c>
      <c r="E169" s="18">
        <f t="shared" si="11"/>
        <v>58.201397430193907</v>
      </c>
      <c r="F169" s="18">
        <f t="shared" si="14"/>
        <v>-1.1891963362963498</v>
      </c>
      <c r="G169" s="18">
        <f t="shared" si="12"/>
        <v>-11.6500096034351</v>
      </c>
      <c r="H169" s="18">
        <f t="shared" si="13"/>
        <v>36.38399878177637</v>
      </c>
      <c r="I169">
        <v>106.2</v>
      </c>
    </row>
    <row r="170" spans="1:9" x14ac:dyDescent="0.2">
      <c r="A170" s="20">
        <v>43898</v>
      </c>
      <c r="B170" s="16">
        <v>60.04</v>
      </c>
      <c r="C170" s="19">
        <v>1.1197999999999999</v>
      </c>
      <c r="D170" s="18">
        <f t="shared" si="10"/>
        <v>0.89301661010894806</v>
      </c>
      <c r="E170" s="18">
        <f t="shared" si="11"/>
        <v>53.616717270941244</v>
      </c>
      <c r="F170" s="18">
        <f t="shared" si="14"/>
        <v>-19.221644585507192</v>
      </c>
      <c r="G170" s="18">
        <f t="shared" si="12"/>
        <v>-11.6500096034351</v>
      </c>
      <c r="H170" s="18">
        <f t="shared" si="13"/>
        <v>36.38399878177637</v>
      </c>
      <c r="I170">
        <v>106.2</v>
      </c>
    </row>
    <row r="171" spans="1:9" x14ac:dyDescent="0.2">
      <c r="A171" s="20">
        <v>43905</v>
      </c>
      <c r="B171" s="16">
        <v>41.351428571428571</v>
      </c>
      <c r="C171" s="19">
        <v>1.12378</v>
      </c>
      <c r="D171" s="18">
        <f t="shared" si="10"/>
        <v>0.88985388599192017</v>
      </c>
      <c r="E171" s="18">
        <f t="shared" si="11"/>
        <v>36.796729405603031</v>
      </c>
      <c r="F171" s="18">
        <f t="shared" si="14"/>
        <v>-48.787638403107536</v>
      </c>
      <c r="G171" s="18">
        <f t="shared" si="12"/>
        <v>-11.6500096034351</v>
      </c>
      <c r="H171" s="18">
        <f t="shared" si="13"/>
        <v>36.38399878177637</v>
      </c>
      <c r="I171">
        <v>106.2</v>
      </c>
    </row>
    <row r="172" spans="1:9" x14ac:dyDescent="0.2">
      <c r="A172" s="20">
        <v>43912</v>
      </c>
      <c r="B172" s="16">
        <v>36.215714285714284</v>
      </c>
      <c r="C172" s="19">
        <v>1.0864799999999999</v>
      </c>
      <c r="D172" s="18">
        <f t="shared" si="10"/>
        <v>0.92040350489654676</v>
      </c>
      <c r="E172" s="18">
        <f t="shared" si="11"/>
        <v>33.333070360903363</v>
      </c>
      <c r="F172" s="18">
        <f t="shared" si="14"/>
        <v>-51.342220377816147</v>
      </c>
      <c r="G172" s="18">
        <f t="shared" si="12"/>
        <v>-11.6500096034351</v>
      </c>
      <c r="H172" s="18">
        <f t="shared" si="13"/>
        <v>36.38399878177637</v>
      </c>
      <c r="I172">
        <v>106.2</v>
      </c>
    </row>
    <row r="173" spans="1:9" x14ac:dyDescent="0.2">
      <c r="A173" s="20">
        <v>43919</v>
      </c>
      <c r="B173" s="16">
        <v>39.164285714285711</v>
      </c>
      <c r="C173" s="19">
        <v>1.0894600000000001</v>
      </c>
      <c r="D173" s="18">
        <f t="shared" si="10"/>
        <v>0.91788592513722389</v>
      </c>
      <c r="E173" s="18">
        <f t="shared" si="11"/>
        <v>35.948346625195704</v>
      </c>
      <c r="F173" s="18">
        <f t="shared" si="14"/>
        <v>-38.23456443926154</v>
      </c>
      <c r="G173" s="18">
        <f t="shared" si="12"/>
        <v>-11.6500096034351</v>
      </c>
      <c r="H173" s="18">
        <f t="shared" si="13"/>
        <v>36.38399878177637</v>
      </c>
      <c r="I173">
        <v>106.9</v>
      </c>
    </row>
    <row r="174" spans="1:9" x14ac:dyDescent="0.2">
      <c r="A174" s="20">
        <v>43926</v>
      </c>
      <c r="B174" s="16">
        <v>39.92</v>
      </c>
      <c r="C174" s="19">
        <v>1.0925400000000001</v>
      </c>
      <c r="D174" s="18">
        <f t="shared" si="10"/>
        <v>0.91529829571457333</v>
      </c>
      <c r="E174" s="18">
        <f t="shared" si="11"/>
        <v>36.53870796492577</v>
      </c>
      <c r="F174" s="18">
        <f t="shared" si="14"/>
        <v>-31.852023352558501</v>
      </c>
      <c r="G174" s="18">
        <f t="shared" si="12"/>
        <v>-11.6500096034351</v>
      </c>
      <c r="H174" s="18">
        <f t="shared" si="13"/>
        <v>36.38399878177637</v>
      </c>
      <c r="I174">
        <v>106.9</v>
      </c>
    </row>
    <row r="175" spans="1:9" x14ac:dyDescent="0.2">
      <c r="A175" s="20">
        <v>43933</v>
      </c>
      <c r="B175" s="16">
        <v>44.231428571428573</v>
      </c>
      <c r="C175" s="19">
        <v>1.0888</v>
      </c>
      <c r="D175" s="18">
        <f t="shared" si="10"/>
        <v>0.91844232182218954</v>
      </c>
      <c r="E175" s="18">
        <f t="shared" si="11"/>
        <v>40.624015954655192</v>
      </c>
      <c r="F175" s="18">
        <f t="shared" si="14"/>
        <v>10.401159589116581</v>
      </c>
      <c r="G175" s="18">
        <f t="shared" si="12"/>
        <v>-11.6500096034351</v>
      </c>
      <c r="H175" s="18">
        <f t="shared" si="13"/>
        <v>36.38399878177637</v>
      </c>
      <c r="I175">
        <v>106.9</v>
      </c>
    </row>
    <row r="176" spans="1:9" x14ac:dyDescent="0.2">
      <c r="A176" s="20">
        <v>43940</v>
      </c>
      <c r="B176" s="16">
        <v>41.865714285714283</v>
      </c>
      <c r="C176" s="19">
        <v>1.0901799999999999</v>
      </c>
      <c r="D176" s="18">
        <f t="shared" si="10"/>
        <v>0.91727971527637642</v>
      </c>
      <c r="E176" s="18">
        <f t="shared" si="11"/>
        <v>38.402570479842119</v>
      </c>
      <c r="F176" s="18">
        <f t="shared" si="14"/>
        <v>15.208620340251677</v>
      </c>
      <c r="G176" s="18">
        <f t="shared" si="12"/>
        <v>-11.6500096034351</v>
      </c>
      <c r="H176" s="18">
        <f t="shared" si="13"/>
        <v>36.38399878177637</v>
      </c>
      <c r="I176">
        <v>106.9</v>
      </c>
    </row>
    <row r="177" spans="1:9" x14ac:dyDescent="0.2">
      <c r="A177" s="20">
        <v>43947</v>
      </c>
      <c r="B177" s="16">
        <v>42.765714285714289</v>
      </c>
      <c r="C177" s="19">
        <v>1.0833999999999999</v>
      </c>
      <c r="D177" s="18">
        <f t="shared" si="10"/>
        <v>0.92302012183865612</v>
      </c>
      <c r="E177" s="18">
        <f t="shared" si="11"/>
        <v>39.473614810517162</v>
      </c>
      <c r="F177" s="18">
        <f t="shared" si="14"/>
        <v>9.8064821230210431</v>
      </c>
      <c r="G177" s="18">
        <f t="shared" si="12"/>
        <v>-11.6500096034351</v>
      </c>
      <c r="H177" s="18">
        <f t="shared" si="13"/>
        <v>36.38399878177637</v>
      </c>
      <c r="I177">
        <v>106.4</v>
      </c>
    </row>
    <row r="178" spans="1:9" x14ac:dyDescent="0.2">
      <c r="A178" s="20">
        <v>43954</v>
      </c>
      <c r="B178" s="16">
        <v>47.167142857142856</v>
      </c>
      <c r="C178" s="19">
        <v>1.089</v>
      </c>
      <c r="D178" s="18">
        <f t="shared" si="10"/>
        <v>0.91827364554637281</v>
      </c>
      <c r="E178" s="18">
        <f t="shared" si="11"/>
        <v>43.312344221435126</v>
      </c>
      <c r="F178" s="18">
        <f t="shared" si="14"/>
        <v>18.538247884986792</v>
      </c>
      <c r="G178" s="18">
        <f t="shared" si="12"/>
        <v>-11.6500096034351</v>
      </c>
      <c r="H178" s="18">
        <f t="shared" si="13"/>
        <v>36.38399878177637</v>
      </c>
      <c r="I178">
        <v>106.4</v>
      </c>
    </row>
    <row r="179" spans="1:9" x14ac:dyDescent="0.2">
      <c r="A179" s="20">
        <v>43961</v>
      </c>
      <c r="B179" s="16">
        <v>46.125714285714288</v>
      </c>
      <c r="C179" s="19">
        <v>1.0846</v>
      </c>
      <c r="D179" s="18">
        <f t="shared" si="10"/>
        <v>0.9219988936013277</v>
      </c>
      <c r="E179" s="18">
        <f t="shared" si="11"/>
        <v>42.52785753799953</v>
      </c>
      <c r="F179" s="18">
        <f t="shared" si="14"/>
        <v>4.6864928013749863</v>
      </c>
      <c r="G179" s="18">
        <f t="shared" si="12"/>
        <v>-11.6500096034351</v>
      </c>
      <c r="H179" s="18">
        <f t="shared" si="13"/>
        <v>36.38399878177637</v>
      </c>
      <c r="I179">
        <v>106.4</v>
      </c>
    </row>
    <row r="180" spans="1:9" x14ac:dyDescent="0.2">
      <c r="A180" s="20">
        <v>43968</v>
      </c>
      <c r="B180" s="16">
        <v>42.967142857142861</v>
      </c>
      <c r="C180" s="19">
        <v>1.0827</v>
      </c>
      <c r="D180" s="18">
        <f t="shared" si="10"/>
        <v>0.92361688371663431</v>
      </c>
      <c r="E180" s="18">
        <f t="shared" si="11"/>
        <v>39.685178587921733</v>
      </c>
      <c r="F180" s="18">
        <f t="shared" si="14"/>
        <v>3.339901709842219</v>
      </c>
      <c r="G180" s="18">
        <f t="shared" si="12"/>
        <v>-11.6500096034351</v>
      </c>
      <c r="H180" s="18">
        <f t="shared" si="13"/>
        <v>36.38399878177637</v>
      </c>
      <c r="I180">
        <v>106.4</v>
      </c>
    </row>
    <row r="181" spans="1:9" x14ac:dyDescent="0.2">
      <c r="A181" s="20">
        <v>43975</v>
      </c>
      <c r="B181" s="16">
        <v>44.017142857142858</v>
      </c>
      <c r="C181" s="19">
        <v>1.0933600000000001</v>
      </c>
      <c r="D181" s="18">
        <f t="shared" si="10"/>
        <v>0.91461183873564045</v>
      </c>
      <c r="E181" s="18">
        <f t="shared" si="11"/>
        <v>40.258599964460792</v>
      </c>
      <c r="F181" s="18">
        <f t="shared" si="14"/>
        <v>1.9886325529388404</v>
      </c>
      <c r="G181" s="18">
        <f t="shared" si="12"/>
        <v>-11.6500096034351</v>
      </c>
      <c r="H181" s="18">
        <f t="shared" si="13"/>
        <v>36.38399878177637</v>
      </c>
      <c r="I181">
        <v>106.2</v>
      </c>
    </row>
    <row r="182" spans="1:9" x14ac:dyDescent="0.2">
      <c r="A182" s="20">
        <v>43982</v>
      </c>
      <c r="B182" s="16">
        <v>44.501428571428569</v>
      </c>
      <c r="C182" s="19">
        <v>1.102875</v>
      </c>
      <c r="D182" s="18">
        <f t="shared" si="10"/>
        <v>0.90672106993086243</v>
      </c>
      <c r="E182" s="18">
        <f t="shared" si="11"/>
        <v>40.350382927737563</v>
      </c>
      <c r="F182" s="18">
        <f t="shared" si="14"/>
        <v>-6.8386076693389803</v>
      </c>
      <c r="G182" s="18">
        <f t="shared" si="12"/>
        <v>-11.6500096034351</v>
      </c>
      <c r="H182" s="18">
        <f t="shared" si="13"/>
        <v>36.38399878177637</v>
      </c>
      <c r="I182">
        <v>106.2</v>
      </c>
    </row>
    <row r="183" spans="1:9" x14ac:dyDescent="0.2">
      <c r="A183" s="20">
        <v>43989</v>
      </c>
      <c r="B183" s="16">
        <v>47.002857142857145</v>
      </c>
      <c r="C183" s="19">
        <v>1.1230800000000001</v>
      </c>
      <c r="D183" s="18">
        <f t="shared" si="10"/>
        <v>0.8904085194287138</v>
      </c>
      <c r="E183" s="18">
        <f t="shared" si="11"/>
        <v>41.851744437490773</v>
      </c>
      <c r="F183" s="18">
        <f t="shared" si="14"/>
        <v>-1.5898122775280576</v>
      </c>
      <c r="G183" s="18">
        <f t="shared" si="12"/>
        <v>-11.6500096034351</v>
      </c>
      <c r="H183" s="18">
        <f t="shared" si="13"/>
        <v>36.38399878177637</v>
      </c>
      <c r="I183">
        <v>106.2</v>
      </c>
    </row>
    <row r="184" spans="1:9" x14ac:dyDescent="0.2">
      <c r="A184" s="20">
        <v>43996</v>
      </c>
      <c r="B184" s="16">
        <v>45.124285714285712</v>
      </c>
      <c r="C184" s="19">
        <v>1.1325400000000001</v>
      </c>
      <c r="D184" s="18">
        <f t="shared" si="10"/>
        <v>0.88297102089109425</v>
      </c>
      <c r="E184" s="18">
        <f t="shared" si="11"/>
        <v>39.843436624124273</v>
      </c>
      <c r="F184" s="18">
        <f t="shared" si="14"/>
        <v>0.39878373194648375</v>
      </c>
      <c r="G184" s="18">
        <f t="shared" si="12"/>
        <v>-11.6500096034351</v>
      </c>
      <c r="H184" s="18">
        <f t="shared" si="13"/>
        <v>36.38399878177637</v>
      </c>
      <c r="I184">
        <v>106.2</v>
      </c>
    </row>
    <row r="185" spans="1:9" x14ac:dyDescent="0.2">
      <c r="A185" s="20">
        <v>44003</v>
      </c>
      <c r="B185" s="16">
        <v>43.484285714285711</v>
      </c>
      <c r="C185" s="19">
        <v>1.1230599999999999</v>
      </c>
      <c r="D185" s="18">
        <f t="shared" si="10"/>
        <v>0.89042437625772453</v>
      </c>
      <c r="E185" s="18">
        <f t="shared" si="11"/>
        <v>38.719467984155536</v>
      </c>
      <c r="F185" s="18">
        <f t="shared" si="14"/>
        <v>-3.8231135252193571</v>
      </c>
      <c r="G185" s="18">
        <f t="shared" si="12"/>
        <v>-11.6500096034351</v>
      </c>
      <c r="H185" s="18">
        <f t="shared" si="13"/>
        <v>36.38399878177637</v>
      </c>
      <c r="I185">
        <v>105.8</v>
      </c>
    </row>
    <row r="186" spans="1:9" x14ac:dyDescent="0.2">
      <c r="A186" s="20">
        <v>44010</v>
      </c>
      <c r="B186" s="16">
        <v>42.685714285714283</v>
      </c>
      <c r="C186" s="19">
        <v>1.1257999999999999</v>
      </c>
      <c r="D186" s="18">
        <f t="shared" si="10"/>
        <v>0.88825723929650036</v>
      </c>
      <c r="E186" s="18">
        <f t="shared" si="11"/>
        <v>37.915894728827759</v>
      </c>
      <c r="F186" s="18">
        <f t="shared" si="14"/>
        <v>-6.0333707446337375</v>
      </c>
      <c r="G186" s="18">
        <f t="shared" si="12"/>
        <v>-11.6500096034351</v>
      </c>
      <c r="H186" s="18">
        <f t="shared" si="13"/>
        <v>36.38399878177637</v>
      </c>
      <c r="I186">
        <v>105.8</v>
      </c>
    </row>
    <row r="187" spans="1:9" x14ac:dyDescent="0.2">
      <c r="A187" s="20">
        <v>44017</v>
      </c>
      <c r="B187" s="16">
        <v>41.548571428571428</v>
      </c>
      <c r="C187" s="19">
        <v>1.12425</v>
      </c>
      <c r="D187" s="18">
        <f t="shared" si="10"/>
        <v>0.88948187680676005</v>
      </c>
      <c r="E187" s="18">
        <f t="shared" si="11"/>
        <v>36.956701292925445</v>
      </c>
      <c r="F187" s="18">
        <f t="shared" si="14"/>
        <v>-11.696150806512984</v>
      </c>
      <c r="G187" s="18">
        <f t="shared" si="12"/>
        <v>-11.6500096034351</v>
      </c>
      <c r="H187" s="18">
        <f t="shared" si="13"/>
        <v>36.38399878177637</v>
      </c>
      <c r="I187">
        <v>105.8</v>
      </c>
    </row>
    <row r="188" spans="1:9" x14ac:dyDescent="0.2">
      <c r="A188" s="20">
        <v>44024</v>
      </c>
      <c r="B188" s="16">
        <v>44.431428571428569</v>
      </c>
      <c r="C188" s="19">
        <v>1.1310199999999999</v>
      </c>
      <c r="D188" s="18">
        <f t="shared" si="10"/>
        <v>0.88415766299446519</v>
      </c>
      <c r="E188" s="18">
        <f t="shared" si="11"/>
        <v>39.284388049219793</v>
      </c>
      <c r="F188" s="18">
        <f t="shared" si="14"/>
        <v>-1.4031133412974461</v>
      </c>
      <c r="G188" s="18">
        <f t="shared" si="12"/>
        <v>-11.6500096034351</v>
      </c>
      <c r="H188" s="18">
        <f t="shared" si="13"/>
        <v>36.38399878177637</v>
      </c>
      <c r="I188">
        <v>105.8</v>
      </c>
    </row>
    <row r="189" spans="1:9" x14ac:dyDescent="0.2">
      <c r="A189" s="20">
        <v>44031</v>
      </c>
      <c r="B189" s="16">
        <v>42.87</v>
      </c>
      <c r="C189" s="19">
        <v>1.1409400000000001</v>
      </c>
      <c r="D189" s="18">
        <f t="shared" si="10"/>
        <v>0.87647027889284268</v>
      </c>
      <c r="E189" s="18">
        <f t="shared" si="11"/>
        <v>37.574280856136163</v>
      </c>
      <c r="F189" s="18">
        <f t="shared" si="14"/>
        <v>-2.957652022718904</v>
      </c>
      <c r="G189" s="18">
        <f t="shared" si="12"/>
        <v>-11.6500096034351</v>
      </c>
      <c r="H189" s="18">
        <f t="shared" si="13"/>
        <v>36.38399878177637</v>
      </c>
      <c r="I189">
        <v>105.8</v>
      </c>
    </row>
    <row r="190" spans="1:9" x14ac:dyDescent="0.2">
      <c r="A190" s="20">
        <v>44038</v>
      </c>
      <c r="B190" s="16">
        <v>45.31</v>
      </c>
      <c r="C190" s="19">
        <v>1.15564</v>
      </c>
      <c r="D190" s="18">
        <f t="shared" si="10"/>
        <v>0.86532138036066597</v>
      </c>
      <c r="E190" s="18">
        <f t="shared" si="11"/>
        <v>39.207711744141776</v>
      </c>
      <c r="F190" s="18">
        <f t="shared" si="14"/>
        <v>3.4070592941377598</v>
      </c>
      <c r="G190" s="18">
        <f t="shared" si="12"/>
        <v>-11.6500096034351</v>
      </c>
      <c r="H190" s="18">
        <f t="shared" si="13"/>
        <v>36.38399878177637</v>
      </c>
      <c r="I190">
        <v>105.8</v>
      </c>
    </row>
    <row r="191" spans="1:9" x14ac:dyDescent="0.2">
      <c r="A191" s="20">
        <v>44045</v>
      </c>
      <c r="B191" s="16">
        <v>56.96</v>
      </c>
      <c r="C191" s="19">
        <v>1.1773199999999999</v>
      </c>
      <c r="D191" s="18">
        <f t="shared" si="10"/>
        <v>0.84938674277171888</v>
      </c>
      <c r="E191" s="18">
        <f t="shared" si="11"/>
        <v>48.381068868277112</v>
      </c>
      <c r="F191" s="18">
        <f t="shared" si="14"/>
        <v>30.912844425156027</v>
      </c>
      <c r="G191" s="18">
        <f t="shared" si="12"/>
        <v>-11.6500096034351</v>
      </c>
      <c r="H191" s="18">
        <f t="shared" si="13"/>
        <v>36.38399878177637</v>
      </c>
      <c r="I191">
        <v>105.8</v>
      </c>
    </row>
    <row r="192" spans="1:9" x14ac:dyDescent="0.2">
      <c r="A192" s="20">
        <v>44052</v>
      </c>
      <c r="B192" s="16">
        <v>58.135714285714286</v>
      </c>
      <c r="C192" s="19">
        <v>1.18092</v>
      </c>
      <c r="D192" s="18">
        <f t="shared" si="10"/>
        <v>0.84679741218710836</v>
      </c>
      <c r="E192" s="18">
        <f t="shared" si="11"/>
        <v>49.229172412791961</v>
      </c>
      <c r="F192" s="18">
        <f t="shared" si="14"/>
        <v>25.314851159479048</v>
      </c>
      <c r="G192" s="18">
        <f t="shared" si="12"/>
        <v>-11.6500096034351</v>
      </c>
      <c r="H192" s="18">
        <f t="shared" si="13"/>
        <v>36.38399878177637</v>
      </c>
      <c r="I192">
        <v>105.8</v>
      </c>
    </row>
    <row r="193" spans="1:9" x14ac:dyDescent="0.2">
      <c r="A193" s="20">
        <v>44059</v>
      </c>
      <c r="B193" s="16">
        <v>57.857142857142854</v>
      </c>
      <c r="C193" s="19">
        <v>1.1793400000000001</v>
      </c>
      <c r="D193" s="18">
        <f t="shared" si="10"/>
        <v>0.84793189411026504</v>
      </c>
      <c r="E193" s="18">
        <f t="shared" si="11"/>
        <v>49.058916730665331</v>
      </c>
      <c r="F193" s="18">
        <f t="shared" si="14"/>
        <v>30.565151515477741</v>
      </c>
      <c r="G193" s="18">
        <f t="shared" si="12"/>
        <v>-11.6500096034351</v>
      </c>
      <c r="H193" s="18">
        <f t="shared" si="13"/>
        <v>36.38399878177637</v>
      </c>
      <c r="I193">
        <v>104.7</v>
      </c>
    </row>
    <row r="194" spans="1:9" x14ac:dyDescent="0.2">
      <c r="A194" s="20">
        <v>44066</v>
      </c>
      <c r="B194" s="16">
        <v>62.607142857142854</v>
      </c>
      <c r="C194" s="19">
        <v>1.1866399999999999</v>
      </c>
      <c r="D194" s="18">
        <f t="shared" si="10"/>
        <v>0.84271556664194702</v>
      </c>
      <c r="E194" s="18">
        <f t="shared" si="11"/>
        <v>52.760013868690464</v>
      </c>
      <c r="F194" s="18">
        <f t="shared" si="14"/>
        <v>34.565399309674348</v>
      </c>
      <c r="G194" s="18">
        <f t="shared" si="12"/>
        <v>-11.6500096034351</v>
      </c>
      <c r="H194" s="18">
        <f t="shared" si="13"/>
        <v>36.38399878177637</v>
      </c>
      <c r="I194">
        <v>104.7</v>
      </c>
    </row>
    <row r="195" spans="1:9" x14ac:dyDescent="0.2">
      <c r="A195" s="20">
        <v>44073</v>
      </c>
      <c r="B195" s="16">
        <v>58.89714285714286</v>
      </c>
      <c r="C195" s="19">
        <v>1.1831799999999999</v>
      </c>
      <c r="D195" s="18">
        <f t="shared" si="10"/>
        <v>0.84517993880897246</v>
      </c>
      <c r="E195" s="18">
        <f t="shared" si="11"/>
        <v>49.778683596023313</v>
      </c>
      <c r="F195" s="18">
        <f t="shared" si="14"/>
        <v>2.8887636433815977</v>
      </c>
      <c r="G195" s="18">
        <f t="shared" si="12"/>
        <v>-11.6500096034351</v>
      </c>
      <c r="H195" s="18">
        <f t="shared" si="13"/>
        <v>36.38399878177637</v>
      </c>
      <c r="I195">
        <v>104.7</v>
      </c>
    </row>
    <row r="196" spans="1:9" x14ac:dyDescent="0.2">
      <c r="A196" s="20">
        <v>44080</v>
      </c>
      <c r="B196" s="16">
        <v>54.594999999999999</v>
      </c>
      <c r="C196" s="19">
        <v>1.1878200000000001</v>
      </c>
      <c r="D196" s="18">
        <f t="shared" si="10"/>
        <v>0.84187839908403628</v>
      </c>
      <c r="E196" s="18">
        <f t="shared" si="11"/>
        <v>45.962351197992959</v>
      </c>
      <c r="F196" s="18">
        <f t="shared" si="14"/>
        <v>-6.6359458318867359</v>
      </c>
      <c r="G196" s="18">
        <f t="shared" si="12"/>
        <v>-11.6500096034351</v>
      </c>
      <c r="H196" s="18">
        <f t="shared" si="13"/>
        <v>36.38399878177637</v>
      </c>
      <c r="I196">
        <v>104.7</v>
      </c>
    </row>
    <row r="197" spans="1:9" x14ac:dyDescent="0.2">
      <c r="A197" s="20">
        <v>44087</v>
      </c>
      <c r="B197" s="16">
        <v>48.717142857142861</v>
      </c>
      <c r="C197" s="19">
        <v>1.18275</v>
      </c>
      <c r="D197" s="18">
        <f t="shared" si="10"/>
        <v>0.84548721200591848</v>
      </c>
      <c r="E197" s="18">
        <f t="shared" si="11"/>
        <v>41.189721291179765</v>
      </c>
      <c r="F197" s="18">
        <f t="shared" si="14"/>
        <v>-16.04029596227663</v>
      </c>
      <c r="G197" s="18">
        <f t="shared" si="12"/>
        <v>-11.6500096034351</v>
      </c>
      <c r="H197" s="18">
        <f t="shared" si="13"/>
        <v>36.38399878177637</v>
      </c>
      <c r="I197">
        <v>105.3</v>
      </c>
    </row>
    <row r="198" spans="1:9" x14ac:dyDescent="0.2">
      <c r="A198" s="20">
        <v>44094</v>
      </c>
      <c r="B198" s="16">
        <v>48.284285714285716</v>
      </c>
      <c r="C198" s="19">
        <v>1.1847000000000001</v>
      </c>
      <c r="D198" s="18">
        <f t="shared" si="10"/>
        <v>0.8440955516164429</v>
      </c>
      <c r="E198" s="18">
        <f t="shared" si="11"/>
        <v>40.756550784405931</v>
      </c>
      <c r="F198" s="18">
        <f t="shared" si="14"/>
        <v>-22.751061275607032</v>
      </c>
      <c r="G198" s="18">
        <f t="shared" si="12"/>
        <v>-11.6500096034351</v>
      </c>
      <c r="H198" s="18">
        <f t="shared" si="13"/>
        <v>36.38399878177637</v>
      </c>
      <c r="I198">
        <v>105.3</v>
      </c>
    </row>
    <row r="199" spans="1:9" x14ac:dyDescent="0.2">
      <c r="A199" s="20">
        <v>44101</v>
      </c>
      <c r="B199" s="16">
        <v>44.817142857142855</v>
      </c>
      <c r="C199" s="19">
        <v>1.1680200000000001</v>
      </c>
      <c r="D199" s="18">
        <f t="shared" si="10"/>
        <v>0.85614972346363927</v>
      </c>
      <c r="E199" s="18">
        <f t="shared" si="11"/>
        <v>38.370184463573274</v>
      </c>
      <c r="F199" s="18">
        <f t="shared" si="14"/>
        <v>-22.918442811857386</v>
      </c>
      <c r="G199" s="18">
        <f t="shared" si="12"/>
        <v>-11.6500096034351</v>
      </c>
      <c r="H199" s="18">
        <f t="shared" si="13"/>
        <v>36.38399878177637</v>
      </c>
      <c r="I199">
        <v>105.3</v>
      </c>
    </row>
    <row r="200" spans="1:9" x14ac:dyDescent="0.2">
      <c r="A200" s="20">
        <v>44108</v>
      </c>
      <c r="B200" s="16">
        <v>45.79</v>
      </c>
      <c r="C200" s="19">
        <v>1.17116</v>
      </c>
      <c r="D200" s="18">
        <f t="shared" si="10"/>
        <v>0.85385429830253767</v>
      </c>
      <c r="E200" s="18">
        <f t="shared" si="11"/>
        <v>39.097988319273199</v>
      </c>
      <c r="F200" s="18">
        <f t="shared" si="14"/>
        <v>-14.934751377600342</v>
      </c>
      <c r="G200" s="18">
        <f t="shared" si="12"/>
        <v>-11.6500096034351</v>
      </c>
      <c r="H200" s="18">
        <f t="shared" si="13"/>
        <v>36.38399878177637</v>
      </c>
      <c r="I200">
        <v>105.3</v>
      </c>
    </row>
    <row r="201" spans="1:9" x14ac:dyDescent="0.2">
      <c r="A201" s="20">
        <v>44115</v>
      </c>
      <c r="B201" s="16">
        <v>47.63</v>
      </c>
      <c r="C201" s="19">
        <v>1.1779999999999999</v>
      </c>
      <c r="D201" s="18">
        <f t="shared" si="10"/>
        <v>0.84889643463497455</v>
      </c>
      <c r="E201" s="18">
        <f t="shared" si="11"/>
        <v>40.432937181663839</v>
      </c>
      <c r="F201" s="18">
        <f t="shared" si="14"/>
        <v>-1.8373130135211246</v>
      </c>
      <c r="G201" s="18">
        <f t="shared" si="12"/>
        <v>-11.6500096034351</v>
      </c>
      <c r="H201" s="18">
        <f t="shared" si="13"/>
        <v>36.38399878177637</v>
      </c>
      <c r="I201">
        <v>106.8</v>
      </c>
    </row>
    <row r="202" spans="1:9" x14ac:dyDescent="0.2">
      <c r="A202" s="20">
        <v>44122</v>
      </c>
      <c r="B202" s="16">
        <v>48.85857142857143</v>
      </c>
      <c r="C202" s="19">
        <v>1.17275</v>
      </c>
      <c r="D202" s="18">
        <f t="shared" si="10"/>
        <v>0.85269665316563636</v>
      </c>
      <c r="E202" s="18">
        <f t="shared" si="11"/>
        <v>41.661540335597046</v>
      </c>
      <c r="F202" s="18">
        <f t="shared" si="14"/>
        <v>2.2204763007996675</v>
      </c>
      <c r="G202" s="18">
        <f t="shared" si="12"/>
        <v>-11.6500096034351</v>
      </c>
      <c r="H202" s="18">
        <f t="shared" si="13"/>
        <v>36.38399878177637</v>
      </c>
      <c r="I202">
        <v>106.8</v>
      </c>
    </row>
    <row r="203" spans="1:9" x14ac:dyDescent="0.2">
      <c r="A203" s="20">
        <v>44129</v>
      </c>
      <c r="B203" s="16">
        <v>53.755714285714284</v>
      </c>
      <c r="C203" s="19">
        <v>1.1830000000000001</v>
      </c>
      <c r="D203" s="18">
        <f t="shared" si="10"/>
        <v>0.84530853761622993</v>
      </c>
      <c r="E203" s="18">
        <f t="shared" si="11"/>
        <v>45.440164231373018</v>
      </c>
      <c r="F203" s="18">
        <f t="shared" si="14"/>
        <v>18.425712220673908</v>
      </c>
      <c r="G203" s="18">
        <f t="shared" si="12"/>
        <v>-11.6500096034351</v>
      </c>
      <c r="H203" s="18">
        <f t="shared" si="13"/>
        <v>36.38399878177637</v>
      </c>
      <c r="I203">
        <v>106.8</v>
      </c>
    </row>
    <row r="204" spans="1:9" x14ac:dyDescent="0.2">
      <c r="A204" s="20">
        <v>44136</v>
      </c>
      <c r="B204" s="16">
        <v>55.861428571428569</v>
      </c>
      <c r="C204" s="19">
        <v>1.1741200000000001</v>
      </c>
      <c r="D204" s="18">
        <f t="shared" si="10"/>
        <v>0.85170169999659318</v>
      </c>
      <c r="E204" s="18">
        <f t="shared" si="11"/>
        <v>47.577273678523973</v>
      </c>
      <c r="F204" s="18">
        <f t="shared" si="14"/>
        <v>21.687267615942641</v>
      </c>
      <c r="G204" s="18">
        <f t="shared" si="12"/>
        <v>-11.6500096034351</v>
      </c>
      <c r="H204" s="18">
        <f t="shared" si="13"/>
        <v>36.38399878177637</v>
      </c>
      <c r="I204">
        <v>106.8</v>
      </c>
    </row>
    <row r="205" spans="1:9" x14ac:dyDescent="0.2">
      <c r="A205" s="20">
        <v>44143</v>
      </c>
      <c r="B205" s="16">
        <v>57.914285714285711</v>
      </c>
      <c r="C205" s="19">
        <v>1.1756599999999999</v>
      </c>
      <c r="D205" s="18">
        <f t="shared" ref="D205:D268" si="15">1/C205</f>
        <v>0.85058605379106211</v>
      </c>
      <c r="E205" s="18">
        <f t="shared" ref="E205:E268" si="16">B205*D205</f>
        <v>49.261083743842363</v>
      </c>
      <c r="F205" s="18">
        <f t="shared" si="14"/>
        <v>21.834047134676247</v>
      </c>
      <c r="G205" s="18">
        <f t="shared" si="12"/>
        <v>-11.6500096034351</v>
      </c>
      <c r="H205" s="18">
        <f t="shared" si="13"/>
        <v>36.38399878177637</v>
      </c>
      <c r="I205">
        <v>107.4</v>
      </c>
    </row>
    <row r="206" spans="1:9" x14ac:dyDescent="0.2">
      <c r="A206" s="20">
        <v>44150</v>
      </c>
      <c r="B206" s="16">
        <v>61.365714285714283</v>
      </c>
      <c r="C206" s="19">
        <v>1.1814750000000001</v>
      </c>
      <c r="D206" s="18">
        <f t="shared" si="15"/>
        <v>0.84639962758416387</v>
      </c>
      <c r="E206" s="18">
        <f t="shared" si="16"/>
        <v>51.939917717864773</v>
      </c>
      <c r="F206" s="18">
        <f t="shared" si="14"/>
        <v>24.67114105592858</v>
      </c>
      <c r="G206" s="18">
        <f t="shared" si="12"/>
        <v>-11.6500096034351</v>
      </c>
      <c r="H206" s="18">
        <f t="shared" si="13"/>
        <v>36.38399878177637</v>
      </c>
      <c r="I206">
        <v>107.4</v>
      </c>
    </row>
    <row r="207" spans="1:9" x14ac:dyDescent="0.2">
      <c r="A207" s="20">
        <v>44157</v>
      </c>
      <c r="B207" s="16">
        <v>79.790000000000006</v>
      </c>
      <c r="C207" s="19">
        <v>1.1855</v>
      </c>
      <c r="D207" s="18">
        <f t="shared" si="15"/>
        <v>0.84352593842260648</v>
      </c>
      <c r="E207" s="18">
        <f t="shared" si="16"/>
        <v>67.304934626739779</v>
      </c>
      <c r="F207" s="18">
        <f t="shared" si="14"/>
        <v>48.117718686128306</v>
      </c>
      <c r="G207" s="18">
        <f t="shared" si="12"/>
        <v>-11.6500096034351</v>
      </c>
      <c r="H207" s="18">
        <f t="shared" si="13"/>
        <v>36.38399878177637</v>
      </c>
      <c r="I207">
        <v>107.4</v>
      </c>
    </row>
    <row r="208" spans="1:9" x14ac:dyDescent="0.2">
      <c r="A208" s="20">
        <v>44164</v>
      </c>
      <c r="B208" s="16">
        <v>79.022857142857148</v>
      </c>
      <c r="C208" s="19">
        <v>1.1869333333333334</v>
      </c>
      <c r="D208" s="18">
        <f t="shared" si="15"/>
        <v>0.84250730172994825</v>
      </c>
      <c r="E208" s="18">
        <f t="shared" si="16"/>
        <v>66.577334146419744</v>
      </c>
      <c r="F208" s="18">
        <f t="shared" si="14"/>
        <v>39.935160211738349</v>
      </c>
      <c r="G208" s="18">
        <f t="shared" ref="G208:G270" si="17">G$272</f>
        <v>-11.6500096034351</v>
      </c>
      <c r="H208" s="18">
        <f t="shared" ref="H208:H269" si="18">H$272</f>
        <v>36.38399878177637</v>
      </c>
      <c r="I208">
        <v>107.4</v>
      </c>
    </row>
    <row r="209" spans="1:9" x14ac:dyDescent="0.2">
      <c r="A209" s="20">
        <v>44171</v>
      </c>
      <c r="B209" s="16">
        <v>85.377142857142857</v>
      </c>
      <c r="C209" s="19">
        <v>1.2074800000000001</v>
      </c>
      <c r="D209" s="18">
        <f t="shared" si="15"/>
        <v>0.82817106701560261</v>
      </c>
      <c r="E209" s="18">
        <f t="shared" si="16"/>
        <v>70.706879498743533</v>
      </c>
      <c r="F209" s="18">
        <f t="shared" ref="F209:F272" si="19">(E209/E205-1)*100</f>
        <v>43.534965382449386</v>
      </c>
      <c r="G209" s="18">
        <f t="shared" si="17"/>
        <v>-11.6500096034351</v>
      </c>
      <c r="H209" s="18">
        <f t="shared" si="18"/>
        <v>36.38399878177637</v>
      </c>
      <c r="I209">
        <v>107.9</v>
      </c>
    </row>
    <row r="210" spans="1:9" x14ac:dyDescent="0.2">
      <c r="A210" s="20">
        <v>44178</v>
      </c>
      <c r="B210" s="16">
        <v>77.69714285714285</v>
      </c>
      <c r="C210" s="19">
        <v>1.2111799999999999</v>
      </c>
      <c r="D210" s="18">
        <f t="shared" si="15"/>
        <v>0.82564111032216525</v>
      </c>
      <c r="E210" s="18">
        <f t="shared" si="16"/>
        <v>64.149955297431319</v>
      </c>
      <c r="F210" s="18">
        <f t="shared" si="19"/>
        <v>23.508003316237236</v>
      </c>
      <c r="G210" s="18">
        <f t="shared" si="17"/>
        <v>-11.6500096034351</v>
      </c>
      <c r="H210" s="18">
        <f t="shared" si="18"/>
        <v>36.38399878177637</v>
      </c>
      <c r="I210">
        <v>107.9</v>
      </c>
    </row>
    <row r="211" spans="1:9" x14ac:dyDescent="0.2">
      <c r="A211" s="20">
        <v>44185</v>
      </c>
      <c r="B211" s="16">
        <v>100.29</v>
      </c>
      <c r="C211" s="19">
        <v>1.2194400000000001</v>
      </c>
      <c r="D211" s="18">
        <f t="shared" si="15"/>
        <v>0.82004854687397488</v>
      </c>
      <c r="E211" s="18">
        <f t="shared" si="16"/>
        <v>82.242668765990942</v>
      </c>
      <c r="F211" s="18">
        <f t="shared" si="19"/>
        <v>22.194114327713056</v>
      </c>
      <c r="G211" s="18">
        <f t="shared" si="17"/>
        <v>-11.6500096034351</v>
      </c>
      <c r="H211" s="18">
        <f t="shared" si="18"/>
        <v>36.38399878177637</v>
      </c>
      <c r="I211">
        <v>107.9</v>
      </c>
    </row>
    <row r="212" spans="1:9" x14ac:dyDescent="0.2">
      <c r="A212" s="20">
        <v>44192</v>
      </c>
      <c r="B212" s="16">
        <v>116.9</v>
      </c>
      <c r="C212" s="19">
        <v>1.2198666666666667</v>
      </c>
      <c r="D212" s="18">
        <f t="shared" si="15"/>
        <v>0.81976172259263314</v>
      </c>
      <c r="E212" s="18">
        <f t="shared" si="16"/>
        <v>95.830145371078814</v>
      </c>
      <c r="F212" s="18">
        <f t="shared" si="19"/>
        <v>43.938093346190499</v>
      </c>
      <c r="G212" s="18">
        <f t="shared" si="17"/>
        <v>-11.6500096034351</v>
      </c>
      <c r="H212" s="18">
        <f t="shared" si="18"/>
        <v>36.38399878177637</v>
      </c>
      <c r="I212">
        <v>107.9</v>
      </c>
    </row>
    <row r="213" spans="1:9" x14ac:dyDescent="0.2">
      <c r="A213" s="20">
        <v>44199</v>
      </c>
      <c r="B213" s="16">
        <v>134.33142857142857</v>
      </c>
      <c r="C213" s="19">
        <v>1.224375</v>
      </c>
      <c r="D213" s="18">
        <f t="shared" si="15"/>
        <v>0.81674323634507406</v>
      </c>
      <c r="E213" s="18">
        <f t="shared" si="16"/>
        <v>109.71428571428572</v>
      </c>
      <c r="F213" s="18">
        <f t="shared" si="19"/>
        <v>55.167766548423835</v>
      </c>
      <c r="G213" s="18">
        <f t="shared" si="17"/>
        <v>-11.6500096034351</v>
      </c>
      <c r="H213" s="18">
        <f t="shared" si="18"/>
        <v>36.38399878177637</v>
      </c>
      <c r="I213">
        <v>108.4</v>
      </c>
    </row>
    <row r="214" spans="1:9" x14ac:dyDescent="0.2">
      <c r="A214" s="20">
        <v>44206</v>
      </c>
      <c r="B214" s="16">
        <v>168.50571428571428</v>
      </c>
      <c r="C214" s="19">
        <v>1.22712</v>
      </c>
      <c r="D214" s="18">
        <f t="shared" si="15"/>
        <v>0.81491622661190433</v>
      </c>
      <c r="E214" s="18">
        <f t="shared" si="16"/>
        <v>137.31804084825794</v>
      </c>
      <c r="F214" s="18">
        <f t="shared" si="19"/>
        <v>114.05789015998957</v>
      </c>
      <c r="G214" s="18">
        <f t="shared" si="17"/>
        <v>-11.6500096034351</v>
      </c>
      <c r="H214" s="18">
        <f t="shared" si="18"/>
        <v>36.38399878177637</v>
      </c>
      <c r="I214">
        <v>108.4</v>
      </c>
    </row>
    <row r="215" spans="1:9" x14ac:dyDescent="0.2">
      <c r="A215" s="20">
        <v>44213</v>
      </c>
      <c r="B215" s="16">
        <v>143.35</v>
      </c>
      <c r="C215" s="19">
        <v>1.21502</v>
      </c>
      <c r="D215" s="18">
        <f t="shared" si="15"/>
        <v>0.82303171964247501</v>
      </c>
      <c r="E215" s="18">
        <f t="shared" si="16"/>
        <v>117.98159701074879</v>
      </c>
      <c r="F215" s="18">
        <f t="shared" si="19"/>
        <v>43.455457831077382</v>
      </c>
      <c r="G215" s="18">
        <f t="shared" si="17"/>
        <v>-11.6500096034351</v>
      </c>
      <c r="H215" s="18">
        <f t="shared" si="18"/>
        <v>36.38399878177637</v>
      </c>
      <c r="I215">
        <v>108.4</v>
      </c>
    </row>
    <row r="216" spans="1:9" x14ac:dyDescent="0.2">
      <c r="A216" s="20">
        <v>44220</v>
      </c>
      <c r="B216" s="16">
        <v>142.77857142857144</v>
      </c>
      <c r="C216" s="19">
        <v>1.2149333333333334</v>
      </c>
      <c r="D216" s="18">
        <f t="shared" si="15"/>
        <v>0.82309043020193151</v>
      </c>
      <c r="E216" s="18">
        <f t="shared" si="16"/>
        <v>117.51967578076007</v>
      </c>
      <c r="F216" s="18">
        <f t="shared" si="19"/>
        <v>22.633306383595531</v>
      </c>
      <c r="G216" s="18">
        <f t="shared" si="17"/>
        <v>-11.6500096034351</v>
      </c>
      <c r="H216" s="18">
        <f t="shared" si="18"/>
        <v>36.38399878177637</v>
      </c>
      <c r="I216">
        <v>108.4</v>
      </c>
    </row>
    <row r="217" spans="1:9" x14ac:dyDescent="0.2">
      <c r="A217" s="20">
        <v>44227</v>
      </c>
      <c r="B217" s="16">
        <v>132.30428571428573</v>
      </c>
      <c r="C217" s="19">
        <v>1.21286</v>
      </c>
      <c r="D217" s="18">
        <f t="shared" si="15"/>
        <v>0.82449746879277075</v>
      </c>
      <c r="E217" s="18">
        <f t="shared" si="16"/>
        <v>109.08454868186412</v>
      </c>
      <c r="F217" s="18">
        <f t="shared" si="19"/>
        <v>-0.57397906600926696</v>
      </c>
      <c r="G217" s="18">
        <f t="shared" si="17"/>
        <v>-11.6500096034351</v>
      </c>
      <c r="H217" s="18">
        <f t="shared" si="18"/>
        <v>36.38399878177637</v>
      </c>
      <c r="I217">
        <v>108.7</v>
      </c>
    </row>
    <row r="218" spans="1:9" x14ac:dyDescent="0.2">
      <c r="A218" s="20">
        <v>44234</v>
      </c>
      <c r="B218" s="16">
        <v>148.43</v>
      </c>
      <c r="C218" s="19">
        <v>1.20248</v>
      </c>
      <c r="D218" s="18">
        <f t="shared" si="15"/>
        <v>0.83161466302973852</v>
      </c>
      <c r="E218" s="18">
        <f t="shared" si="16"/>
        <v>123.43656443350409</v>
      </c>
      <c r="F218" s="18">
        <f t="shared" si="19"/>
        <v>-10.108996843388883</v>
      </c>
      <c r="G218" s="18">
        <f t="shared" si="17"/>
        <v>-11.6500096034351</v>
      </c>
      <c r="H218" s="18">
        <f t="shared" si="18"/>
        <v>36.38399878177637</v>
      </c>
      <c r="I218">
        <v>108.7</v>
      </c>
    </row>
    <row r="219" spans="1:9" x14ac:dyDescent="0.2">
      <c r="A219" s="20">
        <v>44241</v>
      </c>
      <c r="B219" s="16">
        <v>194.20285714285714</v>
      </c>
      <c r="C219" s="19">
        <v>1.21072</v>
      </c>
      <c r="D219" s="18">
        <f t="shared" si="15"/>
        <v>0.82595480375313857</v>
      </c>
      <c r="E219" s="18">
        <f t="shared" si="16"/>
        <v>160.40278275972739</v>
      </c>
      <c r="F219" s="18">
        <f t="shared" si="19"/>
        <v>35.955764986901983</v>
      </c>
      <c r="G219" s="18">
        <f t="shared" si="17"/>
        <v>-11.6500096034351</v>
      </c>
      <c r="H219" s="18">
        <f t="shared" si="18"/>
        <v>36.38399878177637</v>
      </c>
      <c r="I219">
        <v>108.7</v>
      </c>
    </row>
    <row r="220" spans="1:9" x14ac:dyDescent="0.2">
      <c r="A220" s="20">
        <v>44248</v>
      </c>
      <c r="B220" s="16">
        <v>225.43571428571428</v>
      </c>
      <c r="C220" s="19">
        <v>1.2090749999999999</v>
      </c>
      <c r="D220" s="18">
        <f t="shared" si="15"/>
        <v>0.82707855178545586</v>
      </c>
      <c r="E220" s="18">
        <f t="shared" si="16"/>
        <v>186.45304409214836</v>
      </c>
      <c r="F220" s="18">
        <f t="shared" si="19"/>
        <v>58.656874139091045</v>
      </c>
      <c r="G220" s="18">
        <f t="shared" si="17"/>
        <v>-11.6500096034351</v>
      </c>
      <c r="H220" s="18">
        <f t="shared" si="18"/>
        <v>36.38399878177637</v>
      </c>
      <c r="I220">
        <v>108.7</v>
      </c>
    </row>
    <row r="221" spans="1:9" x14ac:dyDescent="0.2">
      <c r="A221" s="20">
        <v>44255</v>
      </c>
      <c r="B221" s="16">
        <v>178.99714285714285</v>
      </c>
      <c r="C221" s="19">
        <v>1.2152400000000001</v>
      </c>
      <c r="D221" s="18">
        <f t="shared" si="15"/>
        <v>0.82288272275435304</v>
      </c>
      <c r="E221" s="18">
        <f t="shared" si="16"/>
        <v>147.29365627953561</v>
      </c>
      <c r="F221" s="18">
        <f t="shared" si="19"/>
        <v>35.027057506654891</v>
      </c>
      <c r="G221" s="18">
        <f t="shared" si="17"/>
        <v>-11.6500096034351</v>
      </c>
      <c r="H221" s="18">
        <f t="shared" si="18"/>
        <v>36.38399878177637</v>
      </c>
      <c r="I221">
        <v>109.1</v>
      </c>
    </row>
    <row r="222" spans="1:9" x14ac:dyDescent="0.2">
      <c r="A222" s="20">
        <v>44262</v>
      </c>
      <c r="B222" s="16">
        <v>182.4242857142857</v>
      </c>
      <c r="C222" s="19">
        <v>1.2033</v>
      </c>
      <c r="D222" s="18">
        <f t="shared" si="15"/>
        <v>0.83104795146679966</v>
      </c>
      <c r="E222" s="18">
        <f t="shared" si="16"/>
        <v>151.60332894065129</v>
      </c>
      <c r="F222" s="18">
        <f t="shared" si="19"/>
        <v>22.818817614063434</v>
      </c>
      <c r="G222" s="18">
        <f t="shared" si="17"/>
        <v>-11.6500096034351</v>
      </c>
      <c r="H222" s="18">
        <f t="shared" si="18"/>
        <v>36.38399878177637</v>
      </c>
      <c r="I222">
        <v>109.1</v>
      </c>
    </row>
    <row r="223" spans="1:9" x14ac:dyDescent="0.2">
      <c r="A223" s="20">
        <v>44269</v>
      </c>
      <c r="B223" s="16">
        <v>208.91857142857143</v>
      </c>
      <c r="C223" s="19">
        <v>1.1912799999999999</v>
      </c>
      <c r="D223" s="18">
        <f t="shared" si="15"/>
        <v>0.83943321469343901</v>
      </c>
      <c r="E223" s="18">
        <f t="shared" si="16"/>
        <v>175.37318802344657</v>
      </c>
      <c r="F223" s="18">
        <f t="shared" si="19"/>
        <v>9.3330084467074581</v>
      </c>
      <c r="G223" s="18">
        <f t="shared" si="17"/>
        <v>-11.6500096034351</v>
      </c>
      <c r="H223" s="18">
        <f t="shared" si="18"/>
        <v>36.38399878177637</v>
      </c>
      <c r="I223">
        <v>109.1</v>
      </c>
    </row>
    <row r="224" spans="1:9" x14ac:dyDescent="0.2">
      <c r="A224" s="20">
        <v>44276</v>
      </c>
      <c r="B224" s="16">
        <v>200.62571428571428</v>
      </c>
      <c r="C224" s="19">
        <v>1.1910400000000001</v>
      </c>
      <c r="D224" s="18">
        <f t="shared" si="15"/>
        <v>0.83960236432025781</v>
      </c>
      <c r="E224" s="18">
        <f t="shared" si="16"/>
        <v>168.44582405772624</v>
      </c>
      <c r="F224" s="18">
        <f t="shared" si="19"/>
        <v>-9.6577774431629173</v>
      </c>
      <c r="G224" s="18">
        <f t="shared" si="17"/>
        <v>-11.6500096034351</v>
      </c>
      <c r="H224" s="18">
        <f t="shared" si="18"/>
        <v>36.38399878177637</v>
      </c>
      <c r="I224">
        <v>109.1</v>
      </c>
    </row>
    <row r="225" spans="1:9" x14ac:dyDescent="0.2">
      <c r="A225" s="20">
        <v>44283</v>
      </c>
      <c r="B225" s="16">
        <v>181.7042857142857</v>
      </c>
      <c r="C225" s="19">
        <v>1.1841999999999999</v>
      </c>
      <c r="D225" s="18">
        <f t="shared" si="15"/>
        <v>0.84445195068400614</v>
      </c>
      <c r="E225" s="18">
        <f t="shared" si="16"/>
        <v>153.44053851907256</v>
      </c>
      <c r="F225" s="18">
        <f t="shared" si="19"/>
        <v>4.1732158701195621</v>
      </c>
      <c r="G225" s="18">
        <f t="shared" si="17"/>
        <v>-11.6500096034351</v>
      </c>
      <c r="H225" s="18">
        <f t="shared" si="18"/>
        <v>36.38399878177637</v>
      </c>
      <c r="I225">
        <v>109.7</v>
      </c>
    </row>
    <row r="226" spans="1:9" x14ac:dyDescent="0.2">
      <c r="A226" s="20">
        <v>44290</v>
      </c>
      <c r="B226" s="16">
        <v>199.7042857142857</v>
      </c>
      <c r="C226" s="19">
        <v>1.1756200000000001</v>
      </c>
      <c r="D226" s="18">
        <f t="shared" si="15"/>
        <v>0.85061499464112544</v>
      </c>
      <c r="E226" s="18">
        <f t="shared" si="16"/>
        <v>169.87145992266693</v>
      </c>
      <c r="F226" s="18">
        <f t="shared" si="19"/>
        <v>12.049953724411377</v>
      </c>
      <c r="G226" s="18">
        <f t="shared" si="17"/>
        <v>-11.6500096034351</v>
      </c>
      <c r="H226" s="18">
        <f t="shared" si="18"/>
        <v>36.38399878177637</v>
      </c>
      <c r="I226">
        <v>109.7</v>
      </c>
    </row>
    <row r="227" spans="1:9" x14ac:dyDescent="0.2">
      <c r="A227" s="20">
        <v>44297</v>
      </c>
      <c r="B227" s="16">
        <v>233.72142857142856</v>
      </c>
      <c r="C227" s="19">
        <v>1.18706</v>
      </c>
      <c r="D227" s="18">
        <f t="shared" si="15"/>
        <v>0.84241740097383455</v>
      </c>
      <c r="E227" s="18">
        <f t="shared" si="16"/>
        <v>196.89099840903455</v>
      </c>
      <c r="F227" s="18">
        <f t="shared" si="19"/>
        <v>12.269726420615189</v>
      </c>
      <c r="G227" s="18">
        <f t="shared" si="17"/>
        <v>-11.6500096034351</v>
      </c>
      <c r="H227" s="18">
        <f t="shared" si="18"/>
        <v>36.38399878177637</v>
      </c>
      <c r="I227">
        <v>109.7</v>
      </c>
    </row>
    <row r="228" spans="1:9" x14ac:dyDescent="0.2">
      <c r="A228" s="20">
        <v>44304</v>
      </c>
      <c r="B228" s="16">
        <v>281.67</v>
      </c>
      <c r="C228" s="19">
        <v>1.1952799999999999</v>
      </c>
      <c r="D228" s="18">
        <f t="shared" si="15"/>
        <v>0.83662405461481837</v>
      </c>
      <c r="E228" s="18">
        <f t="shared" si="16"/>
        <v>235.65189746335591</v>
      </c>
      <c r="F228" s="18">
        <f t="shared" si="19"/>
        <v>39.897737911625633</v>
      </c>
      <c r="G228" s="18">
        <f t="shared" si="17"/>
        <v>-11.6500096034351</v>
      </c>
      <c r="H228" s="18">
        <f t="shared" si="18"/>
        <v>36.38399878177637</v>
      </c>
      <c r="I228">
        <v>109.7</v>
      </c>
    </row>
    <row r="229" spans="1:9" x14ac:dyDescent="0.2">
      <c r="A229" s="20">
        <v>44311</v>
      </c>
      <c r="B229" s="16">
        <v>247.14285714285714</v>
      </c>
      <c r="C229" s="19">
        <v>1.20374</v>
      </c>
      <c r="D229" s="18">
        <f t="shared" si="15"/>
        <v>0.83074418063701461</v>
      </c>
      <c r="E229" s="18">
        <f t="shared" si="16"/>
        <v>205.3124903574336</v>
      </c>
      <c r="F229" s="18">
        <f t="shared" si="19"/>
        <v>33.80589793219044</v>
      </c>
      <c r="G229" s="18">
        <f t="shared" si="17"/>
        <v>-11.6500096034351</v>
      </c>
      <c r="H229" s="18">
        <f t="shared" si="18"/>
        <v>36.38399878177637</v>
      </c>
      <c r="I229">
        <v>109.8</v>
      </c>
    </row>
    <row r="230" spans="1:9" x14ac:dyDescent="0.2">
      <c r="A230" s="20">
        <v>44318</v>
      </c>
      <c r="B230" s="16">
        <v>263.03714285714284</v>
      </c>
      <c r="C230" s="19">
        <v>1.208</v>
      </c>
      <c r="D230" s="18">
        <f t="shared" si="15"/>
        <v>0.82781456953642385</v>
      </c>
      <c r="E230" s="18">
        <f t="shared" si="16"/>
        <v>217.74597918637653</v>
      </c>
      <c r="F230" s="18">
        <f t="shared" si="19"/>
        <v>28.182791438599651</v>
      </c>
      <c r="G230" s="18">
        <f t="shared" si="17"/>
        <v>-11.6500096034351</v>
      </c>
      <c r="H230" s="18">
        <f t="shared" si="18"/>
        <v>36.38399878177637</v>
      </c>
      <c r="I230">
        <v>109.8</v>
      </c>
    </row>
    <row r="231" spans="1:9" x14ac:dyDescent="0.2">
      <c r="A231" s="20">
        <v>44325</v>
      </c>
      <c r="B231" s="16">
        <v>342.36571428571426</v>
      </c>
      <c r="C231" s="19">
        <v>1.2058</v>
      </c>
      <c r="D231" s="18">
        <f t="shared" si="15"/>
        <v>0.82932492950738101</v>
      </c>
      <c r="E231" s="18">
        <f t="shared" si="16"/>
        <v>283.93242186574412</v>
      </c>
      <c r="F231" s="18">
        <f t="shared" si="19"/>
        <v>44.207924262684607</v>
      </c>
      <c r="G231" s="18">
        <f t="shared" si="17"/>
        <v>-11.6500096034351</v>
      </c>
      <c r="H231" s="18">
        <f t="shared" si="18"/>
        <v>36.38399878177637</v>
      </c>
      <c r="I231">
        <v>109.8</v>
      </c>
    </row>
    <row r="232" spans="1:9" x14ac:dyDescent="0.2">
      <c r="A232" s="20">
        <v>44332</v>
      </c>
      <c r="B232" s="16">
        <v>327.35000000000002</v>
      </c>
      <c r="C232" s="19">
        <v>1.21248</v>
      </c>
      <c r="D232" s="18">
        <f t="shared" si="15"/>
        <v>0.82475587226181046</v>
      </c>
      <c r="E232" s="18">
        <f t="shared" si="16"/>
        <v>269.98383478490365</v>
      </c>
      <c r="F232" s="18">
        <f t="shared" si="19"/>
        <v>14.568920382610706</v>
      </c>
      <c r="G232" s="18">
        <f t="shared" si="17"/>
        <v>-11.6500096034351</v>
      </c>
      <c r="H232" s="18">
        <f t="shared" si="18"/>
        <v>36.38399878177637</v>
      </c>
      <c r="I232">
        <v>109.8</v>
      </c>
    </row>
    <row r="233" spans="1:9" x14ac:dyDescent="0.2">
      <c r="A233" s="20">
        <v>44339</v>
      </c>
      <c r="B233" s="16">
        <v>210.30428571428573</v>
      </c>
      <c r="C233" s="19">
        <v>1.2195400000000001</v>
      </c>
      <c r="D233" s="18">
        <f t="shared" si="15"/>
        <v>0.81998130442625905</v>
      </c>
      <c r="E233" s="18">
        <f t="shared" si="16"/>
        <v>172.44558252643267</v>
      </c>
      <c r="F233" s="18">
        <f t="shared" si="19"/>
        <v>-16.008235920660319</v>
      </c>
      <c r="G233" s="18">
        <f t="shared" si="17"/>
        <v>-11.6500096034351</v>
      </c>
      <c r="H233" s="18">
        <f t="shared" si="18"/>
        <v>36.38399878177637</v>
      </c>
      <c r="I233">
        <v>110.1</v>
      </c>
    </row>
    <row r="234" spans="1:9" x14ac:dyDescent="0.2">
      <c r="A234" s="20">
        <v>44346</v>
      </c>
      <c r="B234" s="16">
        <v>181.77428571428572</v>
      </c>
      <c r="C234" s="19">
        <v>1.2206999999999999</v>
      </c>
      <c r="D234" s="18">
        <f t="shared" si="15"/>
        <v>0.8192020971573688</v>
      </c>
      <c r="E234" s="18">
        <f t="shared" si="16"/>
        <v>148.9098760664256</v>
      </c>
      <c r="F234" s="18">
        <f t="shared" si="19"/>
        <v>-31.613030641099304</v>
      </c>
      <c r="G234" s="18">
        <f t="shared" si="17"/>
        <v>-11.6500096034351</v>
      </c>
      <c r="H234" s="18">
        <f t="shared" si="18"/>
        <v>36.38399878177637</v>
      </c>
      <c r="I234">
        <v>110.1</v>
      </c>
    </row>
    <row r="235" spans="1:9" x14ac:dyDescent="0.2">
      <c r="A235" s="20">
        <v>44353</v>
      </c>
      <c r="B235" s="16">
        <v>182.74714285714285</v>
      </c>
      <c r="C235" s="19">
        <v>1.2187250000000001</v>
      </c>
      <c r="D235" s="18">
        <f t="shared" si="15"/>
        <v>0.82052965189029514</v>
      </c>
      <c r="E235" s="18">
        <f t="shared" si="16"/>
        <v>149.94944951251745</v>
      </c>
      <c r="F235" s="18">
        <f t="shared" si="19"/>
        <v>-47.188331460286626</v>
      </c>
      <c r="G235" s="18">
        <f t="shared" si="17"/>
        <v>-11.6500096034351</v>
      </c>
      <c r="H235" s="18">
        <f t="shared" si="18"/>
        <v>36.38399878177637</v>
      </c>
      <c r="I235">
        <v>110.1</v>
      </c>
    </row>
    <row r="236" spans="1:9" x14ac:dyDescent="0.2">
      <c r="A236" s="20">
        <v>44360</v>
      </c>
      <c r="B236" s="16">
        <v>165.76714285714286</v>
      </c>
      <c r="C236" s="19">
        <v>1.2167600000000001</v>
      </c>
      <c r="D236" s="18">
        <f t="shared" si="15"/>
        <v>0.82185476182648998</v>
      </c>
      <c r="E236" s="18">
        <f t="shared" si="16"/>
        <v>136.23651571151487</v>
      </c>
      <c r="F236" s="18">
        <f t="shared" si="19"/>
        <v>-49.539010059600564</v>
      </c>
      <c r="G236" s="18">
        <f t="shared" si="17"/>
        <v>-11.6500096034351</v>
      </c>
      <c r="H236" s="18">
        <f t="shared" si="18"/>
        <v>36.38399878177637</v>
      </c>
      <c r="I236">
        <v>110.1</v>
      </c>
    </row>
    <row r="237" spans="1:9" x14ac:dyDescent="0.2">
      <c r="A237" s="20">
        <v>44367</v>
      </c>
      <c r="B237" s="16">
        <v>164.56857142857143</v>
      </c>
      <c r="C237" s="19">
        <v>1.20296</v>
      </c>
      <c r="D237" s="18">
        <f t="shared" si="15"/>
        <v>0.831282835672009</v>
      </c>
      <c r="E237" s="18">
        <f t="shared" si="16"/>
        <v>136.80302871963443</v>
      </c>
      <c r="F237" s="18">
        <f t="shared" si="19"/>
        <v>-20.668870309469899</v>
      </c>
      <c r="G237" s="18">
        <f t="shared" si="17"/>
        <v>-11.6500096034351</v>
      </c>
      <c r="H237" s="18">
        <f t="shared" si="18"/>
        <v>36.38399878177637</v>
      </c>
      <c r="I237">
        <v>110.7</v>
      </c>
    </row>
    <row r="238" spans="1:9" x14ac:dyDescent="0.2">
      <c r="A238" s="20">
        <v>44374</v>
      </c>
      <c r="B238" s="16">
        <v>127.48142857142857</v>
      </c>
      <c r="C238" s="19">
        <v>1.19272</v>
      </c>
      <c r="D238" s="18">
        <f t="shared" si="15"/>
        <v>0.83841974646186868</v>
      </c>
      <c r="E238" s="18">
        <f t="shared" si="16"/>
        <v>106.88294702145396</v>
      </c>
      <c r="F238" s="18">
        <f t="shared" si="19"/>
        <v>-28.223063610787168</v>
      </c>
      <c r="G238" s="18">
        <f t="shared" si="17"/>
        <v>-11.6500096034351</v>
      </c>
      <c r="H238" s="18">
        <f t="shared" si="18"/>
        <v>36.38399878177637</v>
      </c>
      <c r="I238">
        <v>110.7</v>
      </c>
    </row>
    <row r="239" spans="1:9" x14ac:dyDescent="0.2">
      <c r="A239" s="20">
        <v>44381</v>
      </c>
      <c r="B239" s="16">
        <v>140.75142857142856</v>
      </c>
      <c r="C239" s="19">
        <v>1.1879200000000001</v>
      </c>
      <c r="D239" s="18">
        <f t="shared" si="15"/>
        <v>0.84180752912654044</v>
      </c>
      <c r="E239" s="18">
        <f t="shared" si="16"/>
        <v>118.48561230674503</v>
      </c>
      <c r="F239" s="18">
        <f t="shared" si="19"/>
        <v>-20.98296279716978</v>
      </c>
      <c r="G239" s="18">
        <f t="shared" si="17"/>
        <v>-11.6500096034351</v>
      </c>
      <c r="H239" s="18">
        <f t="shared" si="18"/>
        <v>36.38399878177637</v>
      </c>
      <c r="I239">
        <v>110.7</v>
      </c>
    </row>
    <row r="240" spans="1:9" x14ac:dyDescent="0.2">
      <c r="A240" s="20">
        <v>44388</v>
      </c>
      <c r="B240" s="16">
        <v>135.55571428571429</v>
      </c>
      <c r="C240" s="19">
        <v>1.1830000000000001</v>
      </c>
      <c r="D240" s="18">
        <f t="shared" si="15"/>
        <v>0.84530853761622993</v>
      </c>
      <c r="E240" s="18">
        <f t="shared" si="16"/>
        <v>114.58640260838064</v>
      </c>
      <c r="F240" s="18">
        <f t="shared" si="19"/>
        <v>-15.891564012822402</v>
      </c>
      <c r="G240" s="18">
        <f t="shared" si="17"/>
        <v>-11.6500096034351</v>
      </c>
      <c r="H240" s="18">
        <f t="shared" si="18"/>
        <v>36.38399878177637</v>
      </c>
      <c r="I240">
        <v>110.7</v>
      </c>
    </row>
    <row r="241" spans="1:9" x14ac:dyDescent="0.2">
      <c r="A241" s="20">
        <v>44395</v>
      </c>
      <c r="B241" s="16">
        <v>125.92428571428572</v>
      </c>
      <c r="C241" s="19">
        <v>1.1822600000000001</v>
      </c>
      <c r="D241" s="18">
        <f t="shared" si="15"/>
        <v>0.84583763300796777</v>
      </c>
      <c r="E241" s="18">
        <f t="shared" si="16"/>
        <v>106.51149976679048</v>
      </c>
      <c r="F241" s="18">
        <f t="shared" si="19"/>
        <v>-22.142440292695365</v>
      </c>
      <c r="G241" s="18">
        <f t="shared" si="17"/>
        <v>-11.6500096034351</v>
      </c>
      <c r="H241" s="18">
        <f t="shared" si="18"/>
        <v>36.38399878177637</v>
      </c>
      <c r="I241">
        <v>111</v>
      </c>
    </row>
    <row r="242" spans="1:9" x14ac:dyDescent="0.2">
      <c r="A242" s="20">
        <v>44402</v>
      </c>
      <c r="B242" s="16">
        <v>119.60714285714286</v>
      </c>
      <c r="C242" s="19">
        <v>1.17822</v>
      </c>
      <c r="D242" s="18">
        <f t="shared" si="15"/>
        <v>0.84873792670299264</v>
      </c>
      <c r="E242" s="18">
        <f t="shared" si="16"/>
        <v>101.51511844744009</v>
      </c>
      <c r="F242" s="18">
        <f t="shared" si="19"/>
        <v>-5.0221562219241793</v>
      </c>
      <c r="G242" s="18">
        <f t="shared" si="17"/>
        <v>-11.6500096034351</v>
      </c>
      <c r="H242" s="18">
        <f t="shared" si="18"/>
        <v>36.38399878177637</v>
      </c>
      <c r="I242">
        <v>111</v>
      </c>
    </row>
    <row r="243" spans="1:9" x14ac:dyDescent="0.2">
      <c r="A243" s="20">
        <v>44409</v>
      </c>
      <c r="B243" s="16">
        <v>139.66857142857143</v>
      </c>
      <c r="C243" s="19">
        <v>1.1839999999999999</v>
      </c>
      <c r="D243" s="18">
        <f t="shared" si="15"/>
        <v>0.84459459459459463</v>
      </c>
      <c r="E243" s="18">
        <f t="shared" si="16"/>
        <v>117.96332046332047</v>
      </c>
      <c r="F243" s="18">
        <f t="shared" si="19"/>
        <v>-0.44080613101985522</v>
      </c>
      <c r="G243" s="18">
        <f t="shared" si="17"/>
        <v>-11.6500096034351</v>
      </c>
      <c r="H243" s="18">
        <f t="shared" si="18"/>
        <v>36.38399878177637</v>
      </c>
      <c r="I243">
        <v>111</v>
      </c>
    </row>
    <row r="244" spans="1:9" x14ac:dyDescent="0.2">
      <c r="A244" s="20">
        <v>44416</v>
      </c>
      <c r="B244" s="16">
        <v>145.74428571428572</v>
      </c>
      <c r="C244" s="19">
        <v>1.18344</v>
      </c>
      <c r="D244" s="18">
        <f t="shared" si="15"/>
        <v>0.84499425403907247</v>
      </c>
      <c r="E244" s="18">
        <f t="shared" si="16"/>
        <v>123.15308398760031</v>
      </c>
      <c r="F244" s="18">
        <f t="shared" si="19"/>
        <v>7.4761762165602041</v>
      </c>
      <c r="G244" s="18">
        <f t="shared" si="17"/>
        <v>-11.6500096034351</v>
      </c>
      <c r="H244" s="18">
        <f t="shared" si="18"/>
        <v>36.38399878177637</v>
      </c>
      <c r="I244">
        <v>111</v>
      </c>
    </row>
    <row r="245" spans="1:9" x14ac:dyDescent="0.2">
      <c r="A245" s="20">
        <v>44423</v>
      </c>
      <c r="B245" s="16">
        <v>174.16857142857143</v>
      </c>
      <c r="C245" s="19">
        <v>1.1748000000000001</v>
      </c>
      <c r="D245" s="18">
        <f t="shared" si="15"/>
        <v>0.8512087163772557</v>
      </c>
      <c r="E245" s="18">
        <f t="shared" si="16"/>
        <v>148.25380611897467</v>
      </c>
      <c r="F245" s="18">
        <f t="shared" si="19"/>
        <v>39.190422108016485</v>
      </c>
      <c r="G245" s="18">
        <f t="shared" si="17"/>
        <v>-11.6500096034351</v>
      </c>
      <c r="H245" s="18">
        <f t="shared" si="18"/>
        <v>36.38399878177637</v>
      </c>
      <c r="I245">
        <v>111.3</v>
      </c>
    </row>
    <row r="246" spans="1:9" x14ac:dyDescent="0.2">
      <c r="A246" s="20">
        <v>44430</v>
      </c>
      <c r="B246" s="16">
        <v>177.09285714285716</v>
      </c>
      <c r="C246" s="19">
        <v>1.1715</v>
      </c>
      <c r="D246" s="18">
        <f t="shared" si="15"/>
        <v>0.85360648740930434</v>
      </c>
      <c r="E246" s="18">
        <f t="shared" si="16"/>
        <v>151.16761173099204</v>
      </c>
      <c r="F246" s="18">
        <f t="shared" si="19"/>
        <v>48.911427226733473</v>
      </c>
      <c r="G246" s="18">
        <f t="shared" si="17"/>
        <v>-11.6500096034351</v>
      </c>
      <c r="H246" s="18">
        <f t="shared" si="18"/>
        <v>36.38399878177637</v>
      </c>
      <c r="I246">
        <v>111.3</v>
      </c>
    </row>
    <row r="247" spans="1:9" x14ac:dyDescent="0.2">
      <c r="A247" s="20">
        <v>44437</v>
      </c>
      <c r="B247" s="16">
        <v>176.07428571428571</v>
      </c>
      <c r="C247" s="19">
        <v>1.1758200000000001</v>
      </c>
      <c r="D247" s="18">
        <f t="shared" si="15"/>
        <v>0.850470310081475</v>
      </c>
      <c r="E247" s="18">
        <f t="shared" si="16"/>
        <v>149.74595236880279</v>
      </c>
      <c r="F247" s="18">
        <f t="shared" si="19"/>
        <v>26.942808816037701</v>
      </c>
      <c r="G247" s="18">
        <f t="shared" si="17"/>
        <v>-11.6500096034351</v>
      </c>
      <c r="H247" s="18">
        <f t="shared" si="18"/>
        <v>36.38399878177637</v>
      </c>
      <c r="I247">
        <v>111.3</v>
      </c>
    </row>
    <row r="248" spans="1:9" x14ac:dyDescent="0.2">
      <c r="A248" s="20">
        <v>44444</v>
      </c>
      <c r="B248" s="16">
        <v>194.24285714285713</v>
      </c>
      <c r="C248" s="19">
        <v>1.18374</v>
      </c>
      <c r="D248" s="18">
        <f t="shared" si="15"/>
        <v>0.8447801037389967</v>
      </c>
      <c r="E248" s="18">
        <f t="shared" si="16"/>
        <v>164.09250100770197</v>
      </c>
      <c r="F248" s="18">
        <f t="shared" si="19"/>
        <v>33.242705496700076</v>
      </c>
      <c r="G248" s="18">
        <f t="shared" si="17"/>
        <v>-11.6500096034351</v>
      </c>
      <c r="H248" s="18">
        <f t="shared" si="18"/>
        <v>36.38399878177637</v>
      </c>
      <c r="I248">
        <v>111.3</v>
      </c>
    </row>
    <row r="249" spans="1:9" x14ac:dyDescent="0.2">
      <c r="A249" s="20">
        <v>44451</v>
      </c>
      <c r="B249" s="16">
        <v>184.85142857142858</v>
      </c>
      <c r="C249" s="19">
        <v>1.1828749999999999</v>
      </c>
      <c r="D249" s="18">
        <f t="shared" si="15"/>
        <v>0.84539786537038997</v>
      </c>
      <c r="E249" s="18">
        <f t="shared" si="16"/>
        <v>156.27300312495285</v>
      </c>
      <c r="F249" s="18">
        <f t="shared" si="19"/>
        <v>5.4091002557753676</v>
      </c>
      <c r="G249" s="18">
        <f t="shared" si="17"/>
        <v>-11.6500096034351</v>
      </c>
      <c r="H249" s="18">
        <f t="shared" si="18"/>
        <v>36.38399878177637</v>
      </c>
      <c r="I249">
        <v>112.3</v>
      </c>
    </row>
    <row r="250" spans="1:9" x14ac:dyDescent="0.2">
      <c r="A250" s="20">
        <v>44458</v>
      </c>
      <c r="B250" s="16">
        <v>182.00571428571428</v>
      </c>
      <c r="C250" s="19">
        <v>1.1788400000000001</v>
      </c>
      <c r="D250" s="18">
        <f t="shared" si="15"/>
        <v>0.84829154083675473</v>
      </c>
      <c r="E250" s="18">
        <f t="shared" si="16"/>
        <v>154.39390781252271</v>
      </c>
      <c r="F250" s="18">
        <f t="shared" si="19"/>
        <v>2.1342508786022174</v>
      </c>
      <c r="G250" s="18">
        <f t="shared" si="17"/>
        <v>-11.6500096034351</v>
      </c>
      <c r="H250" s="18">
        <f t="shared" si="18"/>
        <v>36.38399878177637</v>
      </c>
      <c r="I250">
        <v>112.3</v>
      </c>
    </row>
    <row r="251" spans="1:9" x14ac:dyDescent="0.2">
      <c r="A251" s="20">
        <v>44465</v>
      </c>
      <c r="B251" s="16">
        <v>154.89714285714285</v>
      </c>
      <c r="C251" s="19">
        <v>1.1728400000000001</v>
      </c>
      <c r="D251" s="18">
        <f t="shared" si="15"/>
        <v>0.85263121994474944</v>
      </c>
      <c r="E251" s="18">
        <f t="shared" si="16"/>
        <v>132.07013988024184</v>
      </c>
      <c r="F251" s="18">
        <f t="shared" si="19"/>
        <v>-11.803866621401538</v>
      </c>
      <c r="G251" s="18">
        <f t="shared" si="17"/>
        <v>-11.6500096034351</v>
      </c>
      <c r="H251" s="18">
        <f t="shared" si="18"/>
        <v>36.38399878177637</v>
      </c>
      <c r="I251">
        <v>112.3</v>
      </c>
    </row>
    <row r="252" spans="1:9" x14ac:dyDescent="0.2">
      <c r="A252" s="20">
        <v>44472</v>
      </c>
      <c r="B252" s="16">
        <v>155.63142857142856</v>
      </c>
      <c r="C252" s="19">
        <v>1.1634</v>
      </c>
      <c r="D252" s="18">
        <f t="shared" si="15"/>
        <v>0.8595495960116899</v>
      </c>
      <c r="E252" s="18">
        <f t="shared" si="16"/>
        <v>133.77293155529358</v>
      </c>
      <c r="F252" s="18">
        <f t="shared" si="19"/>
        <v>-18.477120688766448</v>
      </c>
      <c r="G252" s="18">
        <f t="shared" si="17"/>
        <v>-11.6500096034351</v>
      </c>
      <c r="H252" s="18">
        <f t="shared" si="18"/>
        <v>36.38399878177637</v>
      </c>
      <c r="I252">
        <v>112.3</v>
      </c>
    </row>
    <row r="253" spans="1:9" x14ac:dyDescent="0.2">
      <c r="A253" s="20">
        <v>44479</v>
      </c>
      <c r="B253" s="16">
        <v>175.64571428571429</v>
      </c>
      <c r="C253" s="19">
        <v>1.1581999999999999</v>
      </c>
      <c r="D253" s="18">
        <f t="shared" si="15"/>
        <v>0.86340873769642557</v>
      </c>
      <c r="E253" s="18">
        <f t="shared" si="16"/>
        <v>151.65404445321559</v>
      </c>
      <c r="F253" s="18">
        <f t="shared" si="19"/>
        <v>-2.9556984119925245</v>
      </c>
      <c r="G253" s="18">
        <f t="shared" si="17"/>
        <v>-11.6500096034351</v>
      </c>
      <c r="H253" s="18">
        <f t="shared" si="18"/>
        <v>36.38399878177637</v>
      </c>
    </row>
    <row r="254" spans="1:9" x14ac:dyDescent="0.2">
      <c r="A254" s="20">
        <v>44486</v>
      </c>
      <c r="B254" s="16">
        <v>181.38714285714286</v>
      </c>
      <c r="C254" s="19">
        <v>1.1573500000000001</v>
      </c>
      <c r="D254" s="18">
        <f t="shared" si="15"/>
        <v>0.86404285652568358</v>
      </c>
      <c r="E254" s="18">
        <f t="shared" si="16"/>
        <v>156.72626505131797</v>
      </c>
      <c r="F254" s="18">
        <f t="shared" si="19"/>
        <v>1.5106536727002018</v>
      </c>
      <c r="G254" s="18">
        <f t="shared" si="17"/>
        <v>-11.6500096034351</v>
      </c>
      <c r="H254" s="18">
        <f t="shared" si="18"/>
        <v>36.38399878177637</v>
      </c>
    </row>
    <row r="255" spans="1:9" x14ac:dyDescent="0.2">
      <c r="A255" s="20">
        <v>44493</v>
      </c>
      <c r="B255" s="16">
        <v>193.77142857142857</v>
      </c>
      <c r="C255" s="19">
        <v>1.1631800000000001</v>
      </c>
      <c r="D255" s="18">
        <f t="shared" si="15"/>
        <v>0.85971216836603093</v>
      </c>
      <c r="E255" s="18">
        <f t="shared" si="16"/>
        <v>166.58765502452633</v>
      </c>
      <c r="F255" s="18">
        <f t="shared" si="19"/>
        <v>26.13574512420762</v>
      </c>
      <c r="G255" s="18">
        <f t="shared" si="17"/>
        <v>-11.6500096034351</v>
      </c>
      <c r="H255" s="18">
        <f t="shared" si="18"/>
        <v>36.38399878177637</v>
      </c>
    </row>
    <row r="256" spans="1:9" x14ac:dyDescent="0.2">
      <c r="A256" s="20">
        <v>44500</v>
      </c>
      <c r="B256" s="16">
        <v>191.70857142857142</v>
      </c>
      <c r="C256" s="19">
        <v>1.16072</v>
      </c>
      <c r="D256" s="18">
        <f t="shared" si="15"/>
        <v>0.86153422013922398</v>
      </c>
      <c r="E256" s="18">
        <f t="shared" si="16"/>
        <v>165.16349457971899</v>
      </c>
      <c r="F256" s="18">
        <f t="shared" si="19"/>
        <v>23.465556640993903</v>
      </c>
      <c r="G256" s="18">
        <f t="shared" si="17"/>
        <v>-11.6500096034351</v>
      </c>
      <c r="H256" s="18">
        <f t="shared" si="18"/>
        <v>36.38399878177637</v>
      </c>
    </row>
    <row r="257" spans="1:8" x14ac:dyDescent="0.2">
      <c r="A257" s="20">
        <v>44507</v>
      </c>
      <c r="B257" s="16">
        <v>201.2</v>
      </c>
      <c r="C257" s="19">
        <v>1.1571199999999999</v>
      </c>
      <c r="D257" s="18">
        <f t="shared" si="15"/>
        <v>0.86421460176991161</v>
      </c>
      <c r="E257" s="18">
        <f t="shared" si="16"/>
        <v>173.87997787610621</v>
      </c>
      <c r="F257" s="18">
        <f t="shared" si="19"/>
        <v>14.655681292922718</v>
      </c>
      <c r="G257" s="18">
        <f t="shared" si="17"/>
        <v>-11.6500096034351</v>
      </c>
      <c r="H257" s="18">
        <f t="shared" si="18"/>
        <v>36.38399878177637</v>
      </c>
    </row>
    <row r="258" spans="1:8" x14ac:dyDescent="0.2">
      <c r="A258" s="20">
        <v>44514</v>
      </c>
      <c r="B258" s="16">
        <v>257.48</v>
      </c>
      <c r="C258" s="19">
        <v>1.153475</v>
      </c>
      <c r="D258" s="18">
        <f t="shared" si="15"/>
        <v>0.86694553414681719</v>
      </c>
      <c r="E258" s="18">
        <f t="shared" si="16"/>
        <v>223.2211361321225</v>
      </c>
      <c r="F258" s="18">
        <f t="shared" si="19"/>
        <v>42.427394705687441</v>
      </c>
      <c r="G258" s="18">
        <f t="shared" si="17"/>
        <v>-11.6500096034351</v>
      </c>
      <c r="H258" s="18">
        <f t="shared" si="18"/>
        <v>36.38399878177637</v>
      </c>
    </row>
    <row r="259" spans="1:8" x14ac:dyDescent="0.2">
      <c r="A259" s="20">
        <v>44521</v>
      </c>
      <c r="B259" s="16">
        <v>227.83571428571429</v>
      </c>
      <c r="C259" s="19">
        <v>1.13504</v>
      </c>
      <c r="D259" s="18">
        <f t="shared" si="15"/>
        <v>0.88102621934028758</v>
      </c>
      <c r="E259" s="18">
        <f t="shared" si="16"/>
        <v>200.7292379878368</v>
      </c>
      <c r="F259" s="18">
        <f t="shared" si="19"/>
        <v>20.494665681129788</v>
      </c>
      <c r="G259" s="18">
        <f t="shared" si="17"/>
        <v>-11.6500096034351</v>
      </c>
      <c r="H259" s="18">
        <f t="shared" si="18"/>
        <v>36.38399878177637</v>
      </c>
    </row>
    <row r="260" spans="1:8" x14ac:dyDescent="0.2">
      <c r="A260" s="20">
        <v>44528</v>
      </c>
      <c r="B260" s="16">
        <v>207.42285714285714</v>
      </c>
      <c r="C260" s="19">
        <v>1.125575</v>
      </c>
      <c r="D260" s="18">
        <f t="shared" si="15"/>
        <v>0.88843479999111563</v>
      </c>
      <c r="E260" s="18">
        <f t="shared" si="16"/>
        <v>184.28168459930004</v>
      </c>
      <c r="F260" s="18">
        <f t="shared" si="19"/>
        <v>11.575312128282267</v>
      </c>
      <c r="G260" s="18">
        <f t="shared" si="17"/>
        <v>-11.6500096034351</v>
      </c>
      <c r="H260" s="18">
        <f t="shared" si="18"/>
        <v>36.38399878177637</v>
      </c>
    </row>
    <row r="261" spans="1:8" x14ac:dyDescent="0.2">
      <c r="A261" s="20">
        <v>44535</v>
      </c>
      <c r="B261" s="16">
        <v>190.60857142857142</v>
      </c>
      <c r="C261" s="19">
        <v>1.1296999999999999</v>
      </c>
      <c r="D261" s="18">
        <f t="shared" si="15"/>
        <v>0.88519075860848018</v>
      </c>
      <c r="E261" s="18">
        <f t="shared" si="16"/>
        <v>168.72494594013583</v>
      </c>
      <c r="F261" s="18">
        <f t="shared" si="19"/>
        <v>-2.9647070346670246</v>
      </c>
      <c r="G261" s="18">
        <f t="shared" si="17"/>
        <v>-11.6500096034351</v>
      </c>
      <c r="H261" s="18">
        <f t="shared" si="18"/>
        <v>36.38399878177637</v>
      </c>
    </row>
    <row r="262" spans="1:8" x14ac:dyDescent="0.2">
      <c r="A262" s="20">
        <v>44542</v>
      </c>
      <c r="B262" s="16">
        <v>158.13999999999999</v>
      </c>
      <c r="C262" s="19">
        <v>1.1291199999999999</v>
      </c>
      <c r="D262" s="18">
        <f t="shared" si="15"/>
        <v>0.88564545841008935</v>
      </c>
      <c r="E262" s="18">
        <f t="shared" si="16"/>
        <v>140.05597279297152</v>
      </c>
      <c r="F262" s="18">
        <f t="shared" si="19"/>
        <v>-37.256849767992541</v>
      </c>
      <c r="G262" s="18">
        <f t="shared" si="17"/>
        <v>-11.6500096034351</v>
      </c>
      <c r="H262" s="18">
        <f t="shared" si="18"/>
        <v>36.38399878177637</v>
      </c>
    </row>
    <row r="263" spans="1:8" x14ac:dyDescent="0.2">
      <c r="A263" s="20">
        <v>44549</v>
      </c>
      <c r="B263" s="16">
        <v>149.09714285714287</v>
      </c>
      <c r="C263" s="19">
        <v>1.1282399999999999</v>
      </c>
      <c r="D263" s="18">
        <f t="shared" si="15"/>
        <v>0.8863362405162023</v>
      </c>
      <c r="E263" s="18">
        <f t="shared" si="16"/>
        <v>132.15020107170716</v>
      </c>
      <c r="F263" s="18">
        <f t="shared" si="19"/>
        <v>-34.164946573595422</v>
      </c>
      <c r="G263" s="18">
        <f t="shared" si="17"/>
        <v>-11.6500096034351</v>
      </c>
      <c r="H263" s="18">
        <f t="shared" si="18"/>
        <v>36.38399878177637</v>
      </c>
    </row>
    <row r="264" spans="1:8" x14ac:dyDescent="0.2">
      <c r="A264" s="20">
        <v>44556</v>
      </c>
      <c r="B264" s="16">
        <v>157.49857142857144</v>
      </c>
      <c r="C264" s="19">
        <v>1.13035</v>
      </c>
      <c r="D264" s="18">
        <f t="shared" si="15"/>
        <v>0.88468173574556552</v>
      </c>
      <c r="E264" s="18">
        <f t="shared" si="16"/>
        <v>139.33610954887553</v>
      </c>
      <c r="F264" s="18">
        <f t="shared" si="19"/>
        <v>-24.389605048463526</v>
      </c>
      <c r="G264" s="18">
        <f t="shared" si="17"/>
        <v>-11.6500096034351</v>
      </c>
      <c r="H264" s="18">
        <f t="shared" si="18"/>
        <v>36.38399878177637</v>
      </c>
    </row>
    <row r="265" spans="1:8" x14ac:dyDescent="0.2">
      <c r="A265" s="20">
        <v>44563</v>
      </c>
      <c r="B265" s="16">
        <v>149.03571428571428</v>
      </c>
      <c r="C265" s="19">
        <v>1.13245</v>
      </c>
      <c r="D265" s="18">
        <f t="shared" si="15"/>
        <v>0.88304119387169411</v>
      </c>
      <c r="E265" s="18">
        <f t="shared" si="16"/>
        <v>131.60467507237783</v>
      </c>
      <c r="F265" s="18">
        <f t="shared" si="19"/>
        <v>-22.000463927206347</v>
      </c>
      <c r="G265" s="18">
        <f t="shared" si="17"/>
        <v>-11.6500096034351</v>
      </c>
      <c r="H265" s="18">
        <f t="shared" si="18"/>
        <v>36.38399878177637</v>
      </c>
    </row>
    <row r="266" spans="1:8" x14ac:dyDescent="0.2">
      <c r="A266" s="20">
        <v>44570</v>
      </c>
      <c r="B266" s="16">
        <v>136.93142857142857</v>
      </c>
      <c r="C266" s="19">
        <v>1.1317200000000001</v>
      </c>
      <c r="D266" s="18">
        <f t="shared" si="15"/>
        <v>0.88361078712048913</v>
      </c>
      <c r="E266" s="18">
        <f t="shared" si="16"/>
        <v>120.99408738153303</v>
      </c>
      <c r="F266" s="18">
        <f t="shared" si="19"/>
        <v>-13.61019100528862</v>
      </c>
      <c r="G266" s="18">
        <f t="shared" si="17"/>
        <v>-11.6500096034351</v>
      </c>
      <c r="H266" s="18">
        <f t="shared" si="18"/>
        <v>36.38399878177637</v>
      </c>
    </row>
    <row r="267" spans="1:8" x14ac:dyDescent="0.2">
      <c r="A267" s="20">
        <v>44577</v>
      </c>
      <c r="B267" s="16">
        <v>139.54428571428571</v>
      </c>
      <c r="C267" s="19">
        <v>1.1399999999999999</v>
      </c>
      <c r="D267" s="18">
        <f t="shared" si="15"/>
        <v>0.87719298245614041</v>
      </c>
      <c r="E267" s="18">
        <f t="shared" si="16"/>
        <v>122.40726817042606</v>
      </c>
      <c r="F267" s="18">
        <f t="shared" si="19"/>
        <v>-7.3726205652872245</v>
      </c>
      <c r="G267" s="18">
        <f t="shared" si="17"/>
        <v>-11.6500096034351</v>
      </c>
      <c r="H267" s="18">
        <f t="shared" si="18"/>
        <v>36.38399878177637</v>
      </c>
    </row>
    <row r="268" spans="1:8" x14ac:dyDescent="0.2">
      <c r="A268" s="20">
        <v>44584</v>
      </c>
      <c r="B268" s="16">
        <v>127.87857142857143</v>
      </c>
      <c r="C268" s="19">
        <v>1.1341000000000001</v>
      </c>
      <c r="D268" s="18">
        <f t="shared" si="15"/>
        <v>0.88175645886606113</v>
      </c>
      <c r="E268" s="18">
        <f t="shared" si="16"/>
        <v>112.75775630770781</v>
      </c>
      <c r="F268" s="18">
        <f t="shared" si="19"/>
        <v>-19.07499307051107</v>
      </c>
      <c r="G268" s="18">
        <f t="shared" si="17"/>
        <v>-11.6500096034351</v>
      </c>
      <c r="H268" s="18">
        <f t="shared" si="18"/>
        <v>36.38399878177637</v>
      </c>
    </row>
    <row r="269" spans="1:8" x14ac:dyDescent="0.2">
      <c r="A269" s="20">
        <v>44591</v>
      </c>
      <c r="B269" s="16">
        <v>108.52857142857142</v>
      </c>
      <c r="C269" s="19">
        <v>1.1234599999999999</v>
      </c>
      <c r="D269" s="18">
        <f t="shared" ref="D269:D272" si="20">1/C269</f>
        <v>0.89010734694604177</v>
      </c>
      <c r="E269" s="18">
        <f t="shared" ref="E269:E272" si="21">B269*D269</f>
        <v>96.602078782129695</v>
      </c>
      <c r="F269" s="18">
        <f t="shared" si="19"/>
        <v>-26.59677269899262</v>
      </c>
      <c r="G269" s="18">
        <f t="shared" si="17"/>
        <v>-11.6500096034351</v>
      </c>
      <c r="H269" s="18">
        <f t="shared" si="18"/>
        <v>36.38399878177637</v>
      </c>
    </row>
    <row r="270" spans="1:8" x14ac:dyDescent="0.2">
      <c r="A270" s="20">
        <v>44598</v>
      </c>
      <c r="B270" s="16">
        <v>116.35571428571428</v>
      </c>
      <c r="C270" s="19">
        <v>1.1326000000000001</v>
      </c>
      <c r="D270" s="18">
        <f t="shared" si="20"/>
        <v>0.88292424509977041</v>
      </c>
      <c r="E270" s="18">
        <f t="shared" si="21"/>
        <v>102.73328119875886</v>
      </c>
      <c r="F270" s="18">
        <f t="shared" si="19"/>
        <v>-15.092312837727363</v>
      </c>
      <c r="G270" s="18">
        <f t="shared" si="17"/>
        <v>-11.6500096034351</v>
      </c>
      <c r="H270" s="18">
        <f>H$272</f>
        <v>36.38399878177637</v>
      </c>
    </row>
    <row r="271" spans="1:8" x14ac:dyDescent="0.2">
      <c r="A271" s="20">
        <v>44605</v>
      </c>
      <c r="B271" s="16">
        <v>131.97285714285715</v>
      </c>
      <c r="C271" s="19">
        <v>1.1435200000000001</v>
      </c>
      <c r="D271" s="18">
        <f t="shared" si="20"/>
        <v>0.87449279417937587</v>
      </c>
      <c r="E271" s="18">
        <f t="shared" si="21"/>
        <v>115.40931259869275</v>
      </c>
      <c r="F271" s="18">
        <f t="shared" si="19"/>
        <v>-5.7169444889417438</v>
      </c>
      <c r="G271" s="18">
        <f>G$272</f>
        <v>-11.6500096034351</v>
      </c>
      <c r="H271" s="18">
        <f>H$272</f>
        <v>36.38399878177637</v>
      </c>
    </row>
    <row r="272" spans="1:8" x14ac:dyDescent="0.2">
      <c r="A272" s="20">
        <v>44612</v>
      </c>
      <c r="B272" s="16">
        <v>120.24142857142857</v>
      </c>
      <c r="C272" s="19">
        <v>1.1348199999999999</v>
      </c>
      <c r="D272" s="18">
        <f t="shared" si="20"/>
        <v>0.88119701802929107</v>
      </c>
      <c r="E272" s="18">
        <f t="shared" si="21"/>
        <v>105.95638830072485</v>
      </c>
      <c r="F272" s="18">
        <f t="shared" si="19"/>
        <v>-6.0318404956750893</v>
      </c>
      <c r="G272">
        <f>G$273-H$273/2</f>
        <v>-11.6500096034351</v>
      </c>
      <c r="H272" s="18">
        <f>G$273+H$273/2</f>
        <v>36.38399878177637</v>
      </c>
    </row>
    <row r="273" spans="1:8" x14ac:dyDescent="0.2">
      <c r="A273" s="15"/>
      <c r="B273" s="16"/>
      <c r="G273">
        <f>AVERAGE(F16:F272)</f>
        <v>12.366994589170636</v>
      </c>
      <c r="H273" s="18">
        <f>SQRT(VAR(F16:F272))</f>
        <v>48.034008385211472</v>
      </c>
    </row>
    <row r="274" spans="1:8" x14ac:dyDescent="0.2">
      <c r="A274" s="12"/>
      <c r="B274" s="9"/>
    </row>
    <row r="275" spans="1:8" x14ac:dyDescent="0.2">
      <c r="A275" s="12"/>
      <c r="B275" s="9"/>
    </row>
    <row r="276" spans="1:8" x14ac:dyDescent="0.2">
      <c r="A276" s="12"/>
      <c r="B276" s="9"/>
    </row>
    <row r="277" spans="1:8" x14ac:dyDescent="0.2">
      <c r="A277" s="12"/>
      <c r="B277" s="9"/>
    </row>
    <row r="278" spans="1:8" x14ac:dyDescent="0.2">
      <c r="A278" s="12"/>
      <c r="B278" s="9"/>
    </row>
    <row r="279" spans="1:8" x14ac:dyDescent="0.2">
      <c r="A279" s="12"/>
      <c r="B279" s="9"/>
    </row>
    <row r="280" spans="1:8" x14ac:dyDescent="0.2">
      <c r="A280" s="12"/>
      <c r="B280" s="9"/>
    </row>
    <row r="281" spans="1:8" x14ac:dyDescent="0.2">
      <c r="A281" s="12"/>
      <c r="B281" s="9"/>
    </row>
    <row r="282" spans="1:8" x14ac:dyDescent="0.2">
      <c r="A282" s="12"/>
      <c r="B282" s="9"/>
    </row>
    <row r="283" spans="1:8" x14ac:dyDescent="0.2">
      <c r="A283" s="12"/>
      <c r="B283" s="9"/>
    </row>
    <row r="284" spans="1:8" x14ac:dyDescent="0.2">
      <c r="A284" s="12"/>
      <c r="B284" s="9"/>
    </row>
    <row r="285" spans="1:8" x14ac:dyDescent="0.2">
      <c r="A285" s="12"/>
      <c r="B285" s="9"/>
    </row>
    <row r="286" spans="1:8" x14ac:dyDescent="0.2">
      <c r="A286" s="12"/>
      <c r="B286" s="9"/>
    </row>
    <row r="287" spans="1:8" x14ac:dyDescent="0.2">
      <c r="A287" s="12"/>
      <c r="B287" s="9"/>
    </row>
    <row r="288" spans="1:8" x14ac:dyDescent="0.2">
      <c r="A288" s="12"/>
      <c r="B288" s="9"/>
    </row>
    <row r="289" spans="1:14" ht="15" x14ac:dyDescent="0.2">
      <c r="A289" s="12"/>
      <c r="B289" s="9"/>
      <c r="J289" s="6" t="s">
        <v>24</v>
      </c>
      <c r="K289" s="3"/>
      <c r="L289" s="3"/>
      <c r="M289" s="3"/>
      <c r="N289" s="4"/>
    </row>
    <row r="290" spans="1:14" x14ac:dyDescent="0.2">
      <c r="A290" s="12"/>
      <c r="B290" s="9"/>
    </row>
    <row r="291" spans="1:14" x14ac:dyDescent="0.2">
      <c r="A291" s="12"/>
      <c r="B291" s="9"/>
    </row>
    <row r="292" spans="1:14" x14ac:dyDescent="0.2">
      <c r="A292" s="12"/>
      <c r="B292" s="9"/>
    </row>
    <row r="293" spans="1:14" x14ac:dyDescent="0.2">
      <c r="A293" s="12"/>
      <c r="B293" s="9"/>
    </row>
    <row r="294" spans="1:14" x14ac:dyDescent="0.2">
      <c r="A294" s="12"/>
      <c r="B294" s="9"/>
    </row>
    <row r="295" spans="1:14" x14ac:dyDescent="0.2">
      <c r="A295" s="12"/>
      <c r="B295" s="9"/>
    </row>
    <row r="296" spans="1:14" x14ac:dyDescent="0.2">
      <c r="A296" s="12"/>
      <c r="B296" s="9"/>
    </row>
    <row r="297" spans="1:14" x14ac:dyDescent="0.2">
      <c r="A297" s="12"/>
      <c r="B297" s="9"/>
    </row>
    <row r="298" spans="1:14" x14ac:dyDescent="0.2">
      <c r="A298" s="12"/>
      <c r="B298" s="9"/>
    </row>
    <row r="299" spans="1:14" x14ac:dyDescent="0.2">
      <c r="A299" s="12"/>
      <c r="B299" s="9"/>
    </row>
    <row r="300" spans="1:14" x14ac:dyDescent="0.2">
      <c r="A300" s="12"/>
      <c r="B300" s="9"/>
    </row>
    <row r="301" spans="1:14" x14ac:dyDescent="0.2">
      <c r="A301" s="12"/>
      <c r="B301" s="9"/>
    </row>
    <row r="302" spans="1:14" x14ac:dyDescent="0.2">
      <c r="A302" s="12"/>
      <c r="B302" s="9"/>
    </row>
    <row r="303" spans="1:14" x14ac:dyDescent="0.2">
      <c r="A303" s="12"/>
      <c r="B303" s="9"/>
    </row>
    <row r="304" spans="1:14" x14ac:dyDescent="0.2">
      <c r="A304" s="12"/>
      <c r="B304" s="9"/>
    </row>
    <row r="305" spans="1:2" x14ac:dyDescent="0.2">
      <c r="A305" s="12"/>
      <c r="B305" s="9"/>
    </row>
    <row r="306" spans="1:2" x14ac:dyDescent="0.2">
      <c r="A306" s="12"/>
      <c r="B306" s="9"/>
    </row>
    <row r="307" spans="1:2" x14ac:dyDescent="0.2">
      <c r="A307" s="12"/>
      <c r="B307" s="9"/>
    </row>
    <row r="308" spans="1:2" x14ac:dyDescent="0.2">
      <c r="A308" s="12"/>
      <c r="B308" s="9"/>
    </row>
    <row r="309" spans="1:2" x14ac:dyDescent="0.2">
      <c r="A309" s="12"/>
      <c r="B309" s="9"/>
    </row>
    <row r="310" spans="1:2" x14ac:dyDescent="0.2">
      <c r="A310" s="12"/>
      <c r="B310" s="9"/>
    </row>
    <row r="311" spans="1:2" x14ac:dyDescent="0.2">
      <c r="A311" s="12"/>
      <c r="B311" s="9"/>
    </row>
    <row r="312" spans="1:2" x14ac:dyDescent="0.2">
      <c r="A312" s="12"/>
      <c r="B312" s="9"/>
    </row>
    <row r="313" spans="1:2" x14ac:dyDescent="0.2">
      <c r="A313" s="12"/>
      <c r="B313" s="9"/>
    </row>
    <row r="314" spans="1:2" x14ac:dyDescent="0.2">
      <c r="A314" s="12"/>
      <c r="B314" s="9"/>
    </row>
    <row r="315" spans="1:2" x14ac:dyDescent="0.2">
      <c r="A315" s="12"/>
      <c r="B315" s="9"/>
    </row>
    <row r="316" spans="1:2" x14ac:dyDescent="0.2">
      <c r="A316" s="12"/>
      <c r="B316" s="9"/>
    </row>
    <row r="317" spans="1:2" x14ac:dyDescent="0.2">
      <c r="A317" s="12"/>
      <c r="B317" s="9"/>
    </row>
    <row r="318" spans="1:2" x14ac:dyDescent="0.2">
      <c r="A318" s="12"/>
      <c r="B318" s="9"/>
    </row>
    <row r="319" spans="1:2" x14ac:dyDescent="0.2">
      <c r="A319" s="12"/>
      <c r="B319" s="9"/>
    </row>
    <row r="320" spans="1:2" x14ac:dyDescent="0.2">
      <c r="A320" s="12"/>
      <c r="B320" s="9"/>
    </row>
    <row r="321" spans="1:2" x14ac:dyDescent="0.2">
      <c r="A321" s="12"/>
      <c r="B321" s="9"/>
    </row>
    <row r="322" spans="1:2" x14ac:dyDescent="0.2">
      <c r="A322" s="12"/>
      <c r="B322" s="9"/>
    </row>
    <row r="323" spans="1:2" x14ac:dyDescent="0.2">
      <c r="A323" s="12"/>
      <c r="B323" s="9"/>
    </row>
    <row r="324" spans="1:2" x14ac:dyDescent="0.2">
      <c r="A324" s="12"/>
      <c r="B324" s="9"/>
    </row>
    <row r="325" spans="1:2" x14ac:dyDescent="0.2">
      <c r="A325" s="12"/>
      <c r="B325" s="9"/>
    </row>
    <row r="326" spans="1:2" x14ac:dyDescent="0.2">
      <c r="A326" s="12"/>
      <c r="B326" s="9"/>
    </row>
    <row r="327" spans="1:2" x14ac:dyDescent="0.2">
      <c r="A327" s="12"/>
      <c r="B327" s="9"/>
    </row>
    <row r="328" spans="1:2" x14ac:dyDescent="0.2">
      <c r="A328" s="12"/>
      <c r="B328" s="9"/>
    </row>
    <row r="329" spans="1:2" x14ac:dyDescent="0.2">
      <c r="A329" s="12"/>
      <c r="B329" s="9"/>
    </row>
    <row r="330" spans="1:2" x14ac:dyDescent="0.2">
      <c r="A330" s="12"/>
      <c r="B330" s="9"/>
    </row>
    <row r="331" spans="1:2" x14ac:dyDescent="0.2">
      <c r="A331" s="12"/>
      <c r="B331" s="9"/>
    </row>
    <row r="332" spans="1:2" x14ac:dyDescent="0.2">
      <c r="A332" s="12"/>
      <c r="B332" s="9"/>
    </row>
    <row r="333" spans="1:2" x14ac:dyDescent="0.2">
      <c r="A333" s="12"/>
      <c r="B333" s="9"/>
    </row>
    <row r="334" spans="1:2" x14ac:dyDescent="0.2">
      <c r="A334" s="12"/>
      <c r="B334" s="9"/>
    </row>
    <row r="335" spans="1:2" x14ac:dyDescent="0.2">
      <c r="A335" s="12"/>
      <c r="B335" s="9"/>
    </row>
    <row r="336" spans="1:2" x14ac:dyDescent="0.2">
      <c r="A336" s="12"/>
      <c r="B336" s="9"/>
    </row>
    <row r="337" spans="1:2" x14ac:dyDescent="0.2">
      <c r="A337" s="12"/>
      <c r="B337" s="9"/>
    </row>
    <row r="338" spans="1:2" x14ac:dyDescent="0.2">
      <c r="A338" s="12"/>
      <c r="B338" s="9"/>
    </row>
    <row r="339" spans="1:2" x14ac:dyDescent="0.2">
      <c r="A339" s="12"/>
      <c r="B339" s="9"/>
    </row>
    <row r="340" spans="1:2" x14ac:dyDescent="0.2">
      <c r="A340" s="12"/>
      <c r="B340" s="9"/>
    </row>
    <row r="341" spans="1:2" x14ac:dyDescent="0.2">
      <c r="A341" s="12"/>
      <c r="B341" s="9"/>
    </row>
    <row r="342" spans="1:2" x14ac:dyDescent="0.2">
      <c r="A342" s="12"/>
      <c r="B342" s="9"/>
    </row>
    <row r="343" spans="1:2" x14ac:dyDescent="0.2">
      <c r="A343" s="12"/>
      <c r="B343" s="9"/>
    </row>
    <row r="344" spans="1:2" x14ac:dyDescent="0.2">
      <c r="A344" s="12"/>
      <c r="B344" s="9"/>
    </row>
    <row r="345" spans="1:2" x14ac:dyDescent="0.2">
      <c r="A345" s="12"/>
      <c r="B345" s="9"/>
    </row>
    <row r="346" spans="1:2" x14ac:dyDescent="0.2">
      <c r="A346" s="12"/>
      <c r="B346" s="9"/>
    </row>
    <row r="347" spans="1:2" x14ac:dyDescent="0.2">
      <c r="A347" s="12"/>
      <c r="B347" s="9"/>
    </row>
    <row r="348" spans="1:2" x14ac:dyDescent="0.2">
      <c r="A348" s="12"/>
      <c r="B348" s="9"/>
    </row>
    <row r="349" spans="1:2" x14ac:dyDescent="0.2">
      <c r="A349" s="12"/>
      <c r="B349" s="9"/>
    </row>
    <row r="350" spans="1:2" x14ac:dyDescent="0.2">
      <c r="A350" s="12"/>
      <c r="B350" s="9"/>
    </row>
    <row r="351" spans="1:2" x14ac:dyDescent="0.2">
      <c r="A351" s="12"/>
      <c r="B351" s="9"/>
    </row>
    <row r="352" spans="1:2" x14ac:dyDescent="0.2">
      <c r="A352" s="12"/>
      <c r="B352" s="9"/>
    </row>
    <row r="353" spans="1:2" x14ac:dyDescent="0.2">
      <c r="A353" s="12"/>
      <c r="B353" s="9"/>
    </row>
    <row r="354" spans="1:2" x14ac:dyDescent="0.2">
      <c r="A354" s="12"/>
      <c r="B354" s="9"/>
    </row>
    <row r="355" spans="1:2" x14ac:dyDescent="0.2">
      <c r="A355" s="12"/>
      <c r="B355" s="9"/>
    </row>
    <row r="356" spans="1:2" x14ac:dyDescent="0.2">
      <c r="A356" s="12"/>
      <c r="B356" s="9"/>
    </row>
    <row r="357" spans="1:2" x14ac:dyDescent="0.2">
      <c r="A357" s="12"/>
      <c r="B357" s="9"/>
    </row>
    <row r="358" spans="1:2" x14ac:dyDescent="0.2">
      <c r="A358" s="12"/>
      <c r="B358" s="9"/>
    </row>
    <row r="359" spans="1:2" x14ac:dyDescent="0.2">
      <c r="A359" s="12"/>
      <c r="B359" s="9"/>
    </row>
    <row r="360" spans="1:2" x14ac:dyDescent="0.2">
      <c r="A360" s="12"/>
      <c r="B360" s="9"/>
    </row>
    <row r="361" spans="1:2" x14ac:dyDescent="0.2">
      <c r="A361" s="12"/>
      <c r="B361" s="9"/>
    </row>
    <row r="362" spans="1:2" x14ac:dyDescent="0.2">
      <c r="A362" s="12"/>
      <c r="B362" s="9"/>
    </row>
    <row r="363" spans="1:2" x14ac:dyDescent="0.2">
      <c r="A363" s="12"/>
      <c r="B363" s="9"/>
    </row>
    <row r="364" spans="1:2" x14ac:dyDescent="0.2">
      <c r="A364" s="12"/>
      <c r="B364" s="9"/>
    </row>
    <row r="365" spans="1:2" x14ac:dyDescent="0.2">
      <c r="A365" s="12"/>
      <c r="B365" s="9"/>
    </row>
    <row r="366" spans="1:2" x14ac:dyDescent="0.2">
      <c r="A366" s="12"/>
      <c r="B366" s="9"/>
    </row>
    <row r="367" spans="1:2" x14ac:dyDescent="0.2">
      <c r="A367" s="12"/>
      <c r="B367" s="9"/>
    </row>
    <row r="368" spans="1:2" x14ac:dyDescent="0.2">
      <c r="A368" s="12"/>
      <c r="B368" s="9"/>
    </row>
    <row r="369" spans="1:2" x14ac:dyDescent="0.2">
      <c r="A369" s="12"/>
      <c r="B369" s="9"/>
    </row>
    <row r="370" spans="1:2" x14ac:dyDescent="0.2">
      <c r="A370" s="12"/>
      <c r="B370" s="9"/>
    </row>
    <row r="371" spans="1:2" x14ac:dyDescent="0.2">
      <c r="A371" s="12"/>
      <c r="B371" s="9"/>
    </row>
    <row r="372" spans="1:2" x14ac:dyDescent="0.2">
      <c r="A372" s="12"/>
      <c r="B372" s="9"/>
    </row>
    <row r="373" spans="1:2" x14ac:dyDescent="0.2">
      <c r="A373" s="12"/>
      <c r="B373" s="9"/>
    </row>
    <row r="374" spans="1:2" x14ac:dyDescent="0.2">
      <c r="A374" s="12"/>
      <c r="B374" s="9"/>
    </row>
    <row r="375" spans="1:2" x14ac:dyDescent="0.2">
      <c r="A375" s="12"/>
      <c r="B375" s="9"/>
    </row>
    <row r="376" spans="1:2" x14ac:dyDescent="0.2">
      <c r="A376" s="12"/>
      <c r="B376" s="9"/>
    </row>
    <row r="377" spans="1:2" x14ac:dyDescent="0.2">
      <c r="A377" s="12"/>
      <c r="B377" s="9"/>
    </row>
    <row r="378" spans="1:2" x14ac:dyDescent="0.2">
      <c r="A378" s="12"/>
      <c r="B378" s="9"/>
    </row>
    <row r="379" spans="1:2" x14ac:dyDescent="0.2">
      <c r="A379" s="12"/>
      <c r="B379" s="9"/>
    </row>
    <row r="380" spans="1:2" x14ac:dyDescent="0.2">
      <c r="A380" s="12"/>
      <c r="B380" s="9"/>
    </row>
    <row r="381" spans="1:2" x14ac:dyDescent="0.2">
      <c r="A381" s="12"/>
      <c r="B381" s="9"/>
    </row>
    <row r="382" spans="1:2" x14ac:dyDescent="0.2">
      <c r="A382" s="12"/>
      <c r="B382" s="9"/>
    </row>
    <row r="383" spans="1:2" x14ac:dyDescent="0.2">
      <c r="A383" s="12"/>
      <c r="B383" s="9"/>
    </row>
    <row r="384" spans="1:2" x14ac:dyDescent="0.2">
      <c r="A384" s="12"/>
      <c r="B384" s="9"/>
    </row>
    <row r="385" spans="1:2" x14ac:dyDescent="0.2">
      <c r="A385" s="12"/>
      <c r="B385" s="9"/>
    </row>
    <row r="386" spans="1:2" x14ac:dyDescent="0.2">
      <c r="A386" s="12"/>
      <c r="B386" s="9"/>
    </row>
    <row r="387" spans="1:2" x14ac:dyDescent="0.2">
      <c r="A387" s="12"/>
      <c r="B387" s="9"/>
    </row>
    <row r="388" spans="1:2" x14ac:dyDescent="0.2">
      <c r="A388" s="12"/>
      <c r="B388" s="9"/>
    </row>
    <row r="389" spans="1:2" x14ac:dyDescent="0.2">
      <c r="A389" s="12"/>
      <c r="B389" s="9"/>
    </row>
    <row r="390" spans="1:2" x14ac:dyDescent="0.2">
      <c r="A390" s="12"/>
      <c r="B390" s="9"/>
    </row>
    <row r="391" spans="1:2" x14ac:dyDescent="0.2">
      <c r="A391" s="12"/>
      <c r="B391" s="9"/>
    </row>
    <row r="392" spans="1:2" x14ac:dyDescent="0.2">
      <c r="A392" s="12"/>
      <c r="B392" s="9"/>
    </row>
    <row r="393" spans="1:2" x14ac:dyDescent="0.2">
      <c r="A393" s="12"/>
      <c r="B393" s="9"/>
    </row>
    <row r="394" spans="1:2" x14ac:dyDescent="0.2">
      <c r="A394" s="12"/>
      <c r="B394" s="9"/>
    </row>
    <row r="395" spans="1:2" x14ac:dyDescent="0.2">
      <c r="A395" s="12"/>
      <c r="B395" s="9"/>
    </row>
    <row r="396" spans="1:2" x14ac:dyDescent="0.2">
      <c r="A396" s="12"/>
      <c r="B396" s="9"/>
    </row>
    <row r="397" spans="1:2" x14ac:dyDescent="0.2">
      <c r="A397" s="12"/>
      <c r="B397" s="9"/>
    </row>
    <row r="398" spans="1:2" x14ac:dyDescent="0.2">
      <c r="A398" s="12"/>
      <c r="B398" s="9"/>
    </row>
    <row r="399" spans="1:2" x14ac:dyDescent="0.2">
      <c r="A399" s="12"/>
      <c r="B399" s="9"/>
    </row>
    <row r="400" spans="1:2" x14ac:dyDescent="0.2">
      <c r="A400" s="12"/>
      <c r="B400" s="9"/>
    </row>
    <row r="401" spans="1:2" x14ac:dyDescent="0.2">
      <c r="A401" s="12"/>
      <c r="B401" s="9"/>
    </row>
    <row r="402" spans="1:2" x14ac:dyDescent="0.2">
      <c r="A402" s="12"/>
      <c r="B402" s="9"/>
    </row>
    <row r="403" spans="1:2" x14ac:dyDescent="0.2">
      <c r="A403" s="12"/>
      <c r="B403" s="9"/>
    </row>
    <row r="404" spans="1:2" x14ac:dyDescent="0.2">
      <c r="A404" s="12"/>
      <c r="B404" s="9"/>
    </row>
    <row r="405" spans="1:2" x14ac:dyDescent="0.2">
      <c r="A405" s="12"/>
      <c r="B405" s="9"/>
    </row>
    <row r="406" spans="1:2" x14ac:dyDescent="0.2">
      <c r="A406" s="12"/>
      <c r="B406" s="9"/>
    </row>
    <row r="407" spans="1:2" x14ac:dyDescent="0.2">
      <c r="A407" s="12"/>
      <c r="B407" s="9"/>
    </row>
    <row r="408" spans="1:2" x14ac:dyDescent="0.2">
      <c r="A408" s="12"/>
      <c r="B408" s="9"/>
    </row>
    <row r="409" spans="1:2" x14ac:dyDescent="0.2">
      <c r="A409" s="12"/>
      <c r="B409" s="9"/>
    </row>
    <row r="410" spans="1:2" x14ac:dyDescent="0.2">
      <c r="A410" s="12"/>
      <c r="B410" s="9"/>
    </row>
    <row r="411" spans="1:2" x14ac:dyDescent="0.2">
      <c r="A411" s="12"/>
      <c r="B411" s="9"/>
    </row>
    <row r="412" spans="1:2" x14ac:dyDescent="0.2">
      <c r="A412" s="12"/>
      <c r="B412" s="9"/>
    </row>
    <row r="413" spans="1:2" x14ac:dyDescent="0.2">
      <c r="A413" s="12"/>
      <c r="B413" s="9"/>
    </row>
    <row r="414" spans="1:2" x14ac:dyDescent="0.2">
      <c r="A414" s="12"/>
      <c r="B414" s="9"/>
    </row>
    <row r="415" spans="1:2" x14ac:dyDescent="0.2">
      <c r="A415" s="12"/>
      <c r="B415" s="9"/>
    </row>
    <row r="416" spans="1:2" x14ac:dyDescent="0.2">
      <c r="A416" s="12"/>
      <c r="B416" s="9"/>
    </row>
    <row r="417" spans="1:2" x14ac:dyDescent="0.2">
      <c r="A417" s="12"/>
      <c r="B417" s="9"/>
    </row>
    <row r="418" spans="1:2" x14ac:dyDescent="0.2">
      <c r="A418" s="12"/>
      <c r="B418" s="9"/>
    </row>
    <row r="419" spans="1:2" x14ac:dyDescent="0.2">
      <c r="A419" s="12"/>
      <c r="B419" s="9"/>
    </row>
    <row r="420" spans="1:2" x14ac:dyDescent="0.2">
      <c r="A420" s="12"/>
      <c r="B420" s="9"/>
    </row>
    <row r="421" spans="1:2" x14ac:dyDescent="0.2">
      <c r="A421" s="12"/>
      <c r="B421" s="9"/>
    </row>
    <row r="422" spans="1:2" x14ac:dyDescent="0.2">
      <c r="A422" s="12"/>
      <c r="B422" s="9"/>
    </row>
    <row r="423" spans="1:2" x14ac:dyDescent="0.2">
      <c r="A423" s="12"/>
      <c r="B423" s="9"/>
    </row>
    <row r="424" spans="1:2" x14ac:dyDescent="0.2">
      <c r="A424" s="12"/>
      <c r="B424" s="9"/>
    </row>
    <row r="425" spans="1:2" x14ac:dyDescent="0.2">
      <c r="A425" s="12"/>
      <c r="B425" s="9"/>
    </row>
    <row r="426" spans="1:2" x14ac:dyDescent="0.2">
      <c r="A426" s="12"/>
      <c r="B426" s="9"/>
    </row>
    <row r="427" spans="1:2" x14ac:dyDescent="0.2">
      <c r="A427" s="12"/>
      <c r="B427" s="9"/>
    </row>
    <row r="428" spans="1:2" x14ac:dyDescent="0.2">
      <c r="A428" s="12"/>
      <c r="B428" s="9"/>
    </row>
    <row r="429" spans="1:2" x14ac:dyDescent="0.2">
      <c r="A429" s="12"/>
      <c r="B429" s="9"/>
    </row>
    <row r="430" spans="1:2" x14ac:dyDescent="0.2">
      <c r="A430" s="12"/>
      <c r="B430" s="9"/>
    </row>
    <row r="431" spans="1:2" x14ac:dyDescent="0.2">
      <c r="A431" s="12"/>
      <c r="B431" s="9"/>
    </row>
    <row r="432" spans="1:2" x14ac:dyDescent="0.2">
      <c r="A432" s="12"/>
      <c r="B432" s="9"/>
    </row>
    <row r="433" spans="1:2" x14ac:dyDescent="0.2">
      <c r="A433" s="12"/>
      <c r="B433" s="9"/>
    </row>
    <row r="434" spans="1:2" x14ac:dyDescent="0.2">
      <c r="A434" s="12"/>
      <c r="B434" s="9"/>
    </row>
    <row r="435" spans="1:2" x14ac:dyDescent="0.2">
      <c r="A435" s="12"/>
      <c r="B435" s="9"/>
    </row>
    <row r="436" spans="1:2" x14ac:dyDescent="0.2">
      <c r="A436" s="12"/>
      <c r="B436" s="9"/>
    </row>
    <row r="437" spans="1:2" x14ac:dyDescent="0.2">
      <c r="A437" s="12"/>
      <c r="B437" s="9"/>
    </row>
    <row r="438" spans="1:2" x14ac:dyDescent="0.2">
      <c r="A438" s="12"/>
      <c r="B438" s="9"/>
    </row>
    <row r="439" spans="1:2" x14ac:dyDescent="0.2">
      <c r="A439" s="12"/>
      <c r="B439" s="9"/>
    </row>
    <row r="440" spans="1:2" x14ac:dyDescent="0.2">
      <c r="A440" s="12"/>
      <c r="B440" s="9"/>
    </row>
    <row r="441" spans="1:2" x14ac:dyDescent="0.2">
      <c r="A441" s="12"/>
      <c r="B441" s="9"/>
    </row>
    <row r="442" spans="1:2" x14ac:dyDescent="0.2">
      <c r="A442" s="12"/>
      <c r="B442" s="9"/>
    </row>
    <row r="443" spans="1:2" x14ac:dyDescent="0.2">
      <c r="A443" s="12"/>
      <c r="B443" s="9"/>
    </row>
    <row r="444" spans="1:2" x14ac:dyDescent="0.2">
      <c r="A444" s="12"/>
      <c r="B444" s="9"/>
    </row>
    <row r="445" spans="1:2" x14ac:dyDescent="0.2">
      <c r="A445" s="12"/>
      <c r="B445" s="9"/>
    </row>
    <row r="446" spans="1:2" x14ac:dyDescent="0.2">
      <c r="A446" s="12"/>
      <c r="B446" s="9"/>
    </row>
    <row r="447" spans="1:2" x14ac:dyDescent="0.2">
      <c r="A447" s="12"/>
      <c r="B447" s="9"/>
    </row>
    <row r="448" spans="1:2" x14ac:dyDescent="0.2">
      <c r="A448" s="12"/>
      <c r="B448" s="9"/>
    </row>
    <row r="449" spans="1:2" x14ac:dyDescent="0.2">
      <c r="A449" s="12"/>
      <c r="B449" s="9"/>
    </row>
    <row r="450" spans="1:2" x14ac:dyDescent="0.2">
      <c r="A450" s="12"/>
      <c r="B450" s="9"/>
    </row>
    <row r="451" spans="1:2" x14ac:dyDescent="0.2">
      <c r="A451" s="12"/>
      <c r="B451" s="9"/>
    </row>
    <row r="452" spans="1:2" x14ac:dyDescent="0.2">
      <c r="A452" s="12"/>
      <c r="B452" s="9"/>
    </row>
    <row r="453" spans="1:2" x14ac:dyDescent="0.2">
      <c r="A453" s="12"/>
      <c r="B453" s="9"/>
    </row>
    <row r="454" spans="1:2" x14ac:dyDescent="0.2">
      <c r="A454" s="12"/>
      <c r="B454" s="9"/>
    </row>
    <row r="455" spans="1:2" x14ac:dyDescent="0.2">
      <c r="A455" s="12"/>
      <c r="B455" s="9"/>
    </row>
    <row r="456" spans="1:2" x14ac:dyDescent="0.2">
      <c r="A456" s="12"/>
      <c r="B456" s="9"/>
    </row>
    <row r="457" spans="1:2" x14ac:dyDescent="0.2">
      <c r="A457" s="12"/>
      <c r="B457" s="9"/>
    </row>
    <row r="458" spans="1:2" x14ac:dyDescent="0.2">
      <c r="A458" s="12"/>
      <c r="B458" s="9"/>
    </row>
    <row r="459" spans="1:2" x14ac:dyDescent="0.2">
      <c r="A459" s="12"/>
      <c r="B459" s="9"/>
    </row>
    <row r="460" spans="1:2" x14ac:dyDescent="0.2">
      <c r="A460" s="12"/>
      <c r="B460" s="9"/>
    </row>
    <row r="461" spans="1:2" x14ac:dyDescent="0.2">
      <c r="A461" s="12"/>
      <c r="B461" s="9"/>
    </row>
    <row r="462" spans="1:2" x14ac:dyDescent="0.2">
      <c r="A462" s="12"/>
      <c r="B462" s="9"/>
    </row>
    <row r="463" spans="1:2" x14ac:dyDescent="0.2">
      <c r="A463" s="12"/>
      <c r="B463" s="9"/>
    </row>
    <row r="464" spans="1:2" x14ac:dyDescent="0.2">
      <c r="A464" s="12"/>
      <c r="B464" s="9"/>
    </row>
    <row r="465" spans="1:2" x14ac:dyDescent="0.2">
      <c r="A465" s="12"/>
      <c r="B465" s="9"/>
    </row>
    <row r="466" spans="1:2" x14ac:dyDescent="0.2">
      <c r="A466" s="12"/>
      <c r="B466" s="9"/>
    </row>
    <row r="467" spans="1:2" x14ac:dyDescent="0.2">
      <c r="A467" s="12"/>
      <c r="B467" s="9"/>
    </row>
    <row r="468" spans="1:2" x14ac:dyDescent="0.2">
      <c r="A468" s="12"/>
      <c r="B468" s="9"/>
    </row>
    <row r="469" spans="1:2" x14ac:dyDescent="0.2">
      <c r="A469" s="12"/>
      <c r="B469" s="9"/>
    </row>
    <row r="470" spans="1:2" x14ac:dyDescent="0.2">
      <c r="A470" s="12"/>
      <c r="B470" s="9"/>
    </row>
    <row r="471" spans="1:2" x14ac:dyDescent="0.2">
      <c r="A471" s="12"/>
      <c r="B471" s="9"/>
    </row>
    <row r="472" spans="1:2" x14ac:dyDescent="0.2">
      <c r="A472" s="12"/>
      <c r="B472" s="9"/>
    </row>
    <row r="473" spans="1:2" x14ac:dyDescent="0.2">
      <c r="A473" s="12"/>
      <c r="B473" s="9"/>
    </row>
    <row r="474" spans="1:2" x14ac:dyDescent="0.2">
      <c r="A474" s="12"/>
      <c r="B474" s="9"/>
    </row>
    <row r="475" spans="1:2" x14ac:dyDescent="0.2">
      <c r="A475" s="12"/>
      <c r="B475" s="9"/>
    </row>
    <row r="476" spans="1:2" x14ac:dyDescent="0.2">
      <c r="A476" s="12"/>
      <c r="B476" s="9"/>
    </row>
    <row r="477" spans="1:2" x14ac:dyDescent="0.2">
      <c r="A477" s="12"/>
      <c r="B477" s="9"/>
    </row>
    <row r="478" spans="1:2" x14ac:dyDescent="0.2">
      <c r="A478" s="12"/>
      <c r="B478" s="9"/>
    </row>
    <row r="479" spans="1:2" x14ac:dyDescent="0.2">
      <c r="A479" s="12"/>
      <c r="B479" s="9"/>
    </row>
    <row r="480" spans="1:2" x14ac:dyDescent="0.2">
      <c r="A480" s="12"/>
      <c r="B480" s="9"/>
    </row>
    <row r="481" spans="1:2" x14ac:dyDescent="0.2">
      <c r="A481" s="12"/>
      <c r="B481" s="9"/>
    </row>
    <row r="482" spans="1:2" x14ac:dyDescent="0.2">
      <c r="A482" s="12"/>
      <c r="B482" s="9"/>
    </row>
    <row r="483" spans="1:2" x14ac:dyDescent="0.2">
      <c r="A483" s="12"/>
      <c r="B483" s="9"/>
    </row>
    <row r="484" spans="1:2" x14ac:dyDescent="0.2">
      <c r="A484" s="12"/>
      <c r="B484" s="9"/>
    </row>
    <row r="485" spans="1:2" x14ac:dyDescent="0.2">
      <c r="A485" s="12"/>
      <c r="B485" s="9"/>
    </row>
    <row r="486" spans="1:2" x14ac:dyDescent="0.2">
      <c r="A486" s="12"/>
      <c r="B486" s="9"/>
    </row>
    <row r="487" spans="1:2" x14ac:dyDescent="0.2">
      <c r="A487" s="12"/>
      <c r="B487" s="9"/>
    </row>
    <row r="488" spans="1:2" x14ac:dyDescent="0.2">
      <c r="A488" s="12"/>
      <c r="B488" s="9"/>
    </row>
    <row r="489" spans="1:2" x14ac:dyDescent="0.2">
      <c r="A489" s="12"/>
      <c r="B489" s="9"/>
    </row>
    <row r="490" spans="1:2" x14ac:dyDescent="0.2">
      <c r="A490" s="12"/>
      <c r="B490" s="9"/>
    </row>
    <row r="491" spans="1:2" x14ac:dyDescent="0.2">
      <c r="A491" s="12"/>
      <c r="B491" s="9"/>
    </row>
    <row r="492" spans="1:2" x14ac:dyDescent="0.2">
      <c r="A492" s="12"/>
      <c r="B492" s="9"/>
    </row>
    <row r="493" spans="1:2" x14ac:dyDescent="0.2">
      <c r="A493" s="12"/>
      <c r="B493" s="9"/>
    </row>
    <row r="494" spans="1:2" x14ac:dyDescent="0.2">
      <c r="A494" s="12"/>
      <c r="B494" s="9"/>
    </row>
    <row r="495" spans="1:2" x14ac:dyDescent="0.2">
      <c r="A495" s="12"/>
      <c r="B495" s="9"/>
    </row>
    <row r="496" spans="1:2" x14ac:dyDescent="0.2">
      <c r="A496" s="12"/>
      <c r="B496" s="9"/>
    </row>
    <row r="497" spans="1:2" x14ac:dyDescent="0.2">
      <c r="A497" s="12"/>
      <c r="B497" s="9"/>
    </row>
    <row r="498" spans="1:2" x14ac:dyDescent="0.2">
      <c r="A498" s="12"/>
      <c r="B498" s="9"/>
    </row>
    <row r="499" spans="1:2" x14ac:dyDescent="0.2">
      <c r="A499" s="12"/>
      <c r="B499" s="9"/>
    </row>
    <row r="500" spans="1:2" x14ac:dyDescent="0.2">
      <c r="A500" s="12"/>
      <c r="B500" s="9"/>
    </row>
    <row r="501" spans="1:2" x14ac:dyDescent="0.2">
      <c r="A501" s="12"/>
      <c r="B501" s="9"/>
    </row>
    <row r="502" spans="1:2" x14ac:dyDescent="0.2">
      <c r="A502" s="12"/>
      <c r="B502" s="9"/>
    </row>
    <row r="503" spans="1:2" x14ac:dyDescent="0.2">
      <c r="A503" s="12"/>
      <c r="B503" s="9"/>
    </row>
    <row r="504" spans="1:2" x14ac:dyDescent="0.2">
      <c r="A504" s="12"/>
      <c r="B504" s="9"/>
    </row>
    <row r="505" spans="1:2" x14ac:dyDescent="0.2">
      <c r="A505" s="12"/>
      <c r="B505" s="9"/>
    </row>
    <row r="506" spans="1:2" x14ac:dyDescent="0.2">
      <c r="A506" s="12"/>
      <c r="B506" s="9"/>
    </row>
    <row r="507" spans="1:2" x14ac:dyDescent="0.2">
      <c r="A507" s="12"/>
      <c r="B507" s="9"/>
    </row>
    <row r="508" spans="1:2" x14ac:dyDescent="0.2">
      <c r="A508" s="12"/>
      <c r="B508" s="9"/>
    </row>
    <row r="509" spans="1:2" x14ac:dyDescent="0.2">
      <c r="A509" s="12"/>
      <c r="B509" s="9"/>
    </row>
    <row r="510" spans="1:2" x14ac:dyDescent="0.2">
      <c r="A510" s="12"/>
      <c r="B510" s="9"/>
    </row>
    <row r="511" spans="1:2" x14ac:dyDescent="0.2">
      <c r="A511" s="12"/>
      <c r="B511" s="9"/>
    </row>
    <row r="512" spans="1:2" x14ac:dyDescent="0.2">
      <c r="A512" s="12"/>
      <c r="B512" s="9"/>
    </row>
    <row r="513" spans="1:2" x14ac:dyDescent="0.2">
      <c r="A513" s="12"/>
      <c r="B513" s="9"/>
    </row>
    <row r="514" spans="1:2" x14ac:dyDescent="0.2">
      <c r="A514" s="12"/>
      <c r="B514" s="9"/>
    </row>
    <row r="515" spans="1:2" x14ac:dyDescent="0.2">
      <c r="A515" s="12"/>
      <c r="B515" s="9"/>
    </row>
    <row r="516" spans="1:2" x14ac:dyDescent="0.2">
      <c r="A516" s="12"/>
      <c r="B516" s="9"/>
    </row>
    <row r="517" spans="1:2" x14ac:dyDescent="0.2">
      <c r="A517" s="12"/>
      <c r="B517" s="9"/>
    </row>
    <row r="518" spans="1:2" x14ac:dyDescent="0.2">
      <c r="A518" s="12"/>
      <c r="B518" s="9"/>
    </row>
    <row r="519" spans="1:2" x14ac:dyDescent="0.2">
      <c r="A519" s="12"/>
      <c r="B519" s="9"/>
    </row>
    <row r="520" spans="1:2" x14ac:dyDescent="0.2">
      <c r="A520" s="12"/>
      <c r="B520" s="9"/>
    </row>
    <row r="521" spans="1:2" x14ac:dyDescent="0.2">
      <c r="A521" s="12"/>
      <c r="B521" s="9"/>
    </row>
    <row r="522" spans="1:2" x14ac:dyDescent="0.2">
      <c r="A522" s="12"/>
      <c r="B522" s="9"/>
    </row>
    <row r="523" spans="1:2" x14ac:dyDescent="0.2">
      <c r="A523" s="12"/>
      <c r="B523" s="9"/>
    </row>
    <row r="524" spans="1:2" x14ac:dyDescent="0.2">
      <c r="A524" s="12"/>
      <c r="B524" s="9"/>
    </row>
    <row r="525" spans="1:2" x14ac:dyDescent="0.2">
      <c r="A525" s="12"/>
      <c r="B525" s="9"/>
    </row>
    <row r="526" spans="1:2" x14ac:dyDescent="0.2">
      <c r="A526" s="12"/>
      <c r="B526" s="9"/>
    </row>
    <row r="527" spans="1:2" x14ac:dyDescent="0.2">
      <c r="A527" s="12"/>
      <c r="B527" s="9"/>
    </row>
    <row r="528" spans="1:2" x14ac:dyDescent="0.2">
      <c r="A528" s="12"/>
      <c r="B528" s="9"/>
    </row>
    <row r="529" spans="1:2" x14ac:dyDescent="0.2">
      <c r="A529" s="12"/>
      <c r="B529" s="9"/>
    </row>
    <row r="530" spans="1:2" x14ac:dyDescent="0.2">
      <c r="A530" s="12"/>
      <c r="B530" s="9"/>
    </row>
    <row r="531" spans="1:2" x14ac:dyDescent="0.2">
      <c r="A531" s="12"/>
      <c r="B531" s="9"/>
    </row>
    <row r="532" spans="1:2" x14ac:dyDescent="0.2">
      <c r="A532" s="12"/>
      <c r="B532" s="9"/>
    </row>
    <row r="533" spans="1:2" x14ac:dyDescent="0.2">
      <c r="A533" s="12"/>
      <c r="B533" s="9"/>
    </row>
    <row r="534" spans="1:2" x14ac:dyDescent="0.2">
      <c r="A534" s="12"/>
      <c r="B534" s="9"/>
    </row>
    <row r="535" spans="1:2" x14ac:dyDescent="0.2">
      <c r="A535" s="12"/>
      <c r="B535" s="9"/>
    </row>
    <row r="536" spans="1:2" x14ac:dyDescent="0.2">
      <c r="A536" s="12"/>
      <c r="B536" s="9"/>
    </row>
    <row r="537" spans="1:2" x14ac:dyDescent="0.2">
      <c r="A537" s="12"/>
      <c r="B537" s="9"/>
    </row>
    <row r="538" spans="1:2" x14ac:dyDescent="0.2">
      <c r="A538" s="12"/>
      <c r="B538" s="9"/>
    </row>
    <row r="539" spans="1:2" x14ac:dyDescent="0.2">
      <c r="A539" s="12"/>
      <c r="B539" s="9"/>
    </row>
    <row r="540" spans="1:2" x14ac:dyDescent="0.2">
      <c r="A540" s="12"/>
      <c r="B540" s="9"/>
    </row>
    <row r="541" spans="1:2" x14ac:dyDescent="0.2">
      <c r="A541" s="12"/>
      <c r="B541" s="9"/>
    </row>
    <row r="542" spans="1:2" x14ac:dyDescent="0.2">
      <c r="A542" s="12"/>
      <c r="B542" s="9"/>
    </row>
    <row r="543" spans="1:2" x14ac:dyDescent="0.2">
      <c r="A543" s="12"/>
      <c r="B543" s="9"/>
    </row>
    <row r="544" spans="1:2" x14ac:dyDescent="0.2">
      <c r="A544" s="12"/>
      <c r="B544" s="9"/>
    </row>
    <row r="545" spans="1:2" x14ac:dyDescent="0.2">
      <c r="A545" s="12"/>
      <c r="B545" s="9"/>
    </row>
    <row r="546" spans="1:2" x14ac:dyDescent="0.2">
      <c r="A546" s="12"/>
      <c r="B546" s="9"/>
    </row>
    <row r="547" spans="1:2" x14ac:dyDescent="0.2">
      <c r="A547" s="12"/>
      <c r="B547" s="9"/>
    </row>
    <row r="548" spans="1:2" x14ac:dyDescent="0.2">
      <c r="A548" s="12"/>
      <c r="B548" s="9"/>
    </row>
    <row r="549" spans="1:2" x14ac:dyDescent="0.2">
      <c r="A549" s="12"/>
      <c r="B549" s="9"/>
    </row>
    <row r="550" spans="1:2" x14ac:dyDescent="0.2">
      <c r="A550" s="12"/>
      <c r="B550" s="9"/>
    </row>
    <row r="551" spans="1:2" x14ac:dyDescent="0.2">
      <c r="A551" s="12"/>
      <c r="B551" s="9"/>
    </row>
    <row r="552" spans="1:2" x14ac:dyDescent="0.2">
      <c r="A552" s="12"/>
      <c r="B552" s="9"/>
    </row>
    <row r="553" spans="1:2" x14ac:dyDescent="0.2">
      <c r="A553" s="12"/>
      <c r="B553" s="9"/>
    </row>
    <row r="554" spans="1:2" x14ac:dyDescent="0.2">
      <c r="A554" s="12"/>
      <c r="B554" s="9"/>
    </row>
    <row r="555" spans="1:2" x14ac:dyDescent="0.2">
      <c r="A555" s="12"/>
      <c r="B555" s="9"/>
    </row>
    <row r="556" spans="1:2" x14ac:dyDescent="0.2">
      <c r="A556" s="12"/>
      <c r="B556" s="9"/>
    </row>
    <row r="557" spans="1:2" x14ac:dyDescent="0.2">
      <c r="A557" s="12"/>
      <c r="B557" s="9"/>
    </row>
    <row r="558" spans="1:2" x14ac:dyDescent="0.2">
      <c r="A558" s="12"/>
      <c r="B558" s="9"/>
    </row>
    <row r="559" spans="1:2" x14ac:dyDescent="0.2">
      <c r="A559" s="12"/>
      <c r="B559" s="9"/>
    </row>
    <row r="560" spans="1:2" x14ac:dyDescent="0.2">
      <c r="A560" s="12"/>
      <c r="B560" s="9"/>
    </row>
    <row r="561" spans="1:2" x14ac:dyDescent="0.2">
      <c r="A561" s="12"/>
      <c r="B561" s="9"/>
    </row>
    <row r="562" spans="1:2" x14ac:dyDescent="0.2">
      <c r="A562" s="12"/>
      <c r="B562" s="9"/>
    </row>
    <row r="563" spans="1:2" x14ac:dyDescent="0.2">
      <c r="A563" s="12"/>
      <c r="B563" s="9"/>
    </row>
    <row r="564" spans="1:2" x14ac:dyDescent="0.2">
      <c r="A564" s="12"/>
      <c r="B564" s="9"/>
    </row>
    <row r="565" spans="1:2" x14ac:dyDescent="0.2">
      <c r="A565" s="12"/>
      <c r="B565" s="9"/>
    </row>
    <row r="566" spans="1:2" x14ac:dyDescent="0.2">
      <c r="A566" s="12"/>
      <c r="B566" s="9"/>
    </row>
    <row r="567" spans="1:2" x14ac:dyDescent="0.2">
      <c r="A567" s="12"/>
      <c r="B567" s="9"/>
    </row>
    <row r="568" spans="1:2" x14ac:dyDescent="0.2">
      <c r="A568" s="12"/>
      <c r="B568" s="9"/>
    </row>
    <row r="569" spans="1:2" x14ac:dyDescent="0.2">
      <c r="A569" s="12"/>
      <c r="B569" s="9"/>
    </row>
    <row r="570" spans="1:2" x14ac:dyDescent="0.2">
      <c r="A570" s="12"/>
      <c r="B570" s="9"/>
    </row>
    <row r="571" spans="1:2" x14ac:dyDescent="0.2">
      <c r="A571" s="12"/>
      <c r="B571" s="9"/>
    </row>
    <row r="572" spans="1:2" x14ac:dyDescent="0.2">
      <c r="A572" s="12"/>
      <c r="B572" s="9"/>
    </row>
    <row r="573" spans="1:2" x14ac:dyDescent="0.2">
      <c r="A573" s="12"/>
      <c r="B573" s="9"/>
    </row>
    <row r="574" spans="1:2" x14ac:dyDescent="0.2">
      <c r="A574" s="12"/>
      <c r="B574" s="9"/>
    </row>
    <row r="575" spans="1:2" x14ac:dyDescent="0.2">
      <c r="A575" s="12"/>
      <c r="B575" s="9"/>
    </row>
    <row r="576" spans="1:2" x14ac:dyDescent="0.2">
      <c r="A576" s="12"/>
      <c r="B576" s="9"/>
    </row>
    <row r="577" spans="1:2" x14ac:dyDescent="0.2">
      <c r="A577" s="12"/>
      <c r="B577" s="9"/>
    </row>
    <row r="578" spans="1:2" x14ac:dyDescent="0.2">
      <c r="A578" s="12"/>
      <c r="B578" s="9"/>
    </row>
    <row r="579" spans="1:2" x14ac:dyDescent="0.2">
      <c r="A579" s="12"/>
      <c r="B579" s="9"/>
    </row>
    <row r="580" spans="1:2" x14ac:dyDescent="0.2">
      <c r="A580" s="12"/>
      <c r="B580" s="9"/>
    </row>
    <row r="581" spans="1:2" x14ac:dyDescent="0.2">
      <c r="A581" s="12"/>
      <c r="B581" s="9"/>
    </row>
    <row r="582" spans="1:2" x14ac:dyDescent="0.2">
      <c r="A582" s="12"/>
      <c r="B582" s="9"/>
    </row>
    <row r="583" spans="1:2" x14ac:dyDescent="0.2">
      <c r="A583" s="12"/>
      <c r="B583" s="9"/>
    </row>
    <row r="584" spans="1:2" x14ac:dyDescent="0.2">
      <c r="A584" s="12"/>
      <c r="B584" s="9"/>
    </row>
    <row r="585" spans="1:2" x14ac:dyDescent="0.2">
      <c r="A585" s="12"/>
      <c r="B585" s="9"/>
    </row>
    <row r="586" spans="1:2" x14ac:dyDescent="0.2">
      <c r="A586" s="12"/>
      <c r="B586" s="9"/>
    </row>
    <row r="587" spans="1:2" x14ac:dyDescent="0.2">
      <c r="A587" s="12"/>
      <c r="B587" s="9"/>
    </row>
    <row r="588" spans="1:2" x14ac:dyDescent="0.2">
      <c r="A588" s="12"/>
      <c r="B588" s="9"/>
    </row>
    <row r="589" spans="1:2" x14ac:dyDescent="0.2">
      <c r="A589" s="12"/>
      <c r="B589" s="9"/>
    </row>
    <row r="590" spans="1:2" x14ac:dyDescent="0.2">
      <c r="A590" s="12"/>
      <c r="B590" s="9"/>
    </row>
    <row r="591" spans="1:2" x14ac:dyDescent="0.2">
      <c r="A591" s="12"/>
      <c r="B591" s="9"/>
    </row>
    <row r="592" spans="1:2" x14ac:dyDescent="0.2">
      <c r="A592" s="12"/>
      <c r="B592" s="9"/>
    </row>
    <row r="593" spans="1:2" x14ac:dyDescent="0.2">
      <c r="A593" s="12"/>
      <c r="B593" s="9"/>
    </row>
    <row r="594" spans="1:2" x14ac:dyDescent="0.2">
      <c r="A594" s="12"/>
      <c r="B594" s="9"/>
    </row>
    <row r="595" spans="1:2" x14ac:dyDescent="0.2">
      <c r="A595" s="12"/>
      <c r="B595" s="9"/>
    </row>
    <row r="596" spans="1:2" x14ac:dyDescent="0.2">
      <c r="A596" s="12"/>
      <c r="B596" s="9"/>
    </row>
    <row r="597" spans="1:2" x14ac:dyDescent="0.2">
      <c r="A597" s="12"/>
      <c r="B597" s="9"/>
    </row>
    <row r="598" spans="1:2" x14ac:dyDescent="0.2">
      <c r="A598" s="12"/>
      <c r="B598" s="9"/>
    </row>
    <row r="599" spans="1:2" x14ac:dyDescent="0.2">
      <c r="A599" s="12"/>
      <c r="B599" s="9"/>
    </row>
    <row r="600" spans="1:2" x14ac:dyDescent="0.2">
      <c r="A600" s="12"/>
      <c r="B600" s="9"/>
    </row>
    <row r="601" spans="1:2" x14ac:dyDescent="0.2">
      <c r="A601" s="12"/>
      <c r="B601" s="9"/>
    </row>
    <row r="602" spans="1:2" x14ac:dyDescent="0.2">
      <c r="A602" s="12"/>
      <c r="B602" s="9"/>
    </row>
    <row r="603" spans="1:2" x14ac:dyDescent="0.2">
      <c r="A603" s="12"/>
      <c r="B603" s="9"/>
    </row>
    <row r="604" spans="1:2" x14ac:dyDescent="0.2">
      <c r="A604" s="12"/>
      <c r="B604" s="9"/>
    </row>
    <row r="605" spans="1:2" x14ac:dyDescent="0.2">
      <c r="A605" s="12"/>
      <c r="B605" s="9"/>
    </row>
    <row r="606" spans="1:2" x14ac:dyDescent="0.2">
      <c r="A606" s="12"/>
      <c r="B606" s="9"/>
    </row>
    <row r="607" spans="1:2" x14ac:dyDescent="0.2">
      <c r="A607" s="12"/>
      <c r="B607" s="9"/>
    </row>
    <row r="608" spans="1:2" x14ac:dyDescent="0.2">
      <c r="A608" s="12"/>
      <c r="B608" s="9"/>
    </row>
    <row r="609" spans="1:2" x14ac:dyDescent="0.2">
      <c r="A609" s="12"/>
      <c r="B609" s="9"/>
    </row>
    <row r="610" spans="1:2" x14ac:dyDescent="0.2">
      <c r="A610" s="12"/>
      <c r="B610" s="9"/>
    </row>
    <row r="611" spans="1:2" x14ac:dyDescent="0.2">
      <c r="A611" s="12"/>
      <c r="B611" s="9"/>
    </row>
    <row r="612" spans="1:2" x14ac:dyDescent="0.2">
      <c r="A612" s="12"/>
      <c r="B612" s="9"/>
    </row>
    <row r="613" spans="1:2" x14ac:dyDescent="0.2">
      <c r="A613" s="12"/>
      <c r="B613" s="9"/>
    </row>
    <row r="614" spans="1:2" x14ac:dyDescent="0.2">
      <c r="A614" s="12"/>
      <c r="B614" s="9"/>
    </row>
    <row r="615" spans="1:2" x14ac:dyDescent="0.2">
      <c r="A615" s="12"/>
      <c r="B615" s="9"/>
    </row>
    <row r="616" spans="1:2" x14ac:dyDescent="0.2">
      <c r="A616" s="12"/>
      <c r="B616" s="9"/>
    </row>
    <row r="617" spans="1:2" x14ac:dyDescent="0.2">
      <c r="A617" s="12"/>
      <c r="B617" s="9"/>
    </row>
    <row r="618" spans="1:2" x14ac:dyDescent="0.2">
      <c r="A618" s="12"/>
      <c r="B618" s="9"/>
    </row>
    <row r="619" spans="1:2" x14ac:dyDescent="0.2">
      <c r="A619" s="12"/>
      <c r="B619" s="9"/>
    </row>
    <row r="620" spans="1:2" x14ac:dyDescent="0.2">
      <c r="A620" s="12"/>
      <c r="B620" s="9"/>
    </row>
    <row r="621" spans="1:2" x14ac:dyDescent="0.2">
      <c r="A621" s="12"/>
      <c r="B621" s="9"/>
    </row>
    <row r="622" spans="1:2" x14ac:dyDescent="0.2">
      <c r="A622" s="12"/>
      <c r="B622" s="9"/>
    </row>
    <row r="623" spans="1:2" x14ac:dyDescent="0.2">
      <c r="A623" s="12"/>
      <c r="B623" s="9"/>
    </row>
    <row r="624" spans="1:2" x14ac:dyDescent="0.2">
      <c r="A624" s="12"/>
      <c r="B624" s="9"/>
    </row>
    <row r="625" spans="1:2" x14ac:dyDescent="0.2">
      <c r="A625" s="12"/>
      <c r="B625" s="9"/>
    </row>
    <row r="626" spans="1:2" x14ac:dyDescent="0.2">
      <c r="A626" s="12"/>
      <c r="B626" s="9"/>
    </row>
    <row r="627" spans="1:2" x14ac:dyDescent="0.2">
      <c r="A627" s="12"/>
      <c r="B627" s="9"/>
    </row>
    <row r="628" spans="1:2" x14ac:dyDescent="0.2">
      <c r="A628" s="12"/>
      <c r="B628" s="9"/>
    </row>
    <row r="629" spans="1:2" x14ac:dyDescent="0.2">
      <c r="A629" s="12"/>
      <c r="B629" s="9"/>
    </row>
    <row r="630" spans="1:2" x14ac:dyDescent="0.2">
      <c r="A630" s="12"/>
      <c r="B630" s="9"/>
    </row>
    <row r="631" spans="1:2" x14ac:dyDescent="0.2">
      <c r="A631" s="12"/>
      <c r="B631" s="9"/>
    </row>
    <row r="632" spans="1:2" x14ac:dyDescent="0.2">
      <c r="A632" s="12"/>
      <c r="B632" s="9"/>
    </row>
    <row r="633" spans="1:2" x14ac:dyDescent="0.2">
      <c r="A633" s="12"/>
      <c r="B633" s="9"/>
    </row>
    <row r="634" spans="1:2" x14ac:dyDescent="0.2">
      <c r="A634" s="12"/>
      <c r="B634" s="9"/>
    </row>
    <row r="635" spans="1:2" x14ac:dyDescent="0.2">
      <c r="A635" s="12"/>
      <c r="B635" s="9"/>
    </row>
    <row r="636" spans="1:2" x14ac:dyDescent="0.2">
      <c r="A636" s="12"/>
      <c r="B636" s="9"/>
    </row>
    <row r="637" spans="1:2" x14ac:dyDescent="0.2">
      <c r="A637" s="12"/>
      <c r="B637" s="9"/>
    </row>
    <row r="638" spans="1:2" x14ac:dyDescent="0.2">
      <c r="A638" s="12"/>
      <c r="B638" s="9"/>
    </row>
    <row r="639" spans="1:2" x14ac:dyDescent="0.2">
      <c r="A639" s="12"/>
      <c r="B639" s="9"/>
    </row>
    <row r="640" spans="1:2" x14ac:dyDescent="0.2">
      <c r="A640" s="12"/>
      <c r="B640" s="9"/>
    </row>
    <row r="641" spans="1:2" x14ac:dyDescent="0.2">
      <c r="A641" s="12"/>
      <c r="B641" s="9"/>
    </row>
    <row r="642" spans="1:2" x14ac:dyDescent="0.2">
      <c r="A642" s="12"/>
      <c r="B642" s="9"/>
    </row>
    <row r="643" spans="1:2" x14ac:dyDescent="0.2">
      <c r="A643" s="12"/>
      <c r="B643" s="9"/>
    </row>
    <row r="644" spans="1:2" x14ac:dyDescent="0.2">
      <c r="A644" s="12"/>
      <c r="B644" s="9"/>
    </row>
    <row r="645" spans="1:2" x14ac:dyDescent="0.2">
      <c r="A645" s="12"/>
      <c r="B645" s="9"/>
    </row>
    <row r="646" spans="1:2" x14ac:dyDescent="0.2">
      <c r="A646" s="12"/>
      <c r="B646" s="9"/>
    </row>
    <row r="647" spans="1:2" x14ac:dyDescent="0.2">
      <c r="A647" s="12"/>
      <c r="B647" s="9"/>
    </row>
    <row r="648" spans="1:2" x14ac:dyDescent="0.2">
      <c r="A648" s="12"/>
      <c r="B648" s="9"/>
    </row>
    <row r="649" spans="1:2" x14ac:dyDescent="0.2">
      <c r="A649" s="12"/>
      <c r="B649" s="9"/>
    </row>
    <row r="650" spans="1:2" x14ac:dyDescent="0.2">
      <c r="A650" s="12"/>
      <c r="B650" s="9"/>
    </row>
    <row r="651" spans="1:2" x14ac:dyDescent="0.2">
      <c r="A651" s="12"/>
      <c r="B651" s="9"/>
    </row>
    <row r="652" spans="1:2" x14ac:dyDescent="0.2">
      <c r="A652" s="12"/>
      <c r="B652" s="9"/>
    </row>
    <row r="653" spans="1:2" x14ac:dyDescent="0.2">
      <c r="A653" s="12"/>
      <c r="B653" s="9"/>
    </row>
    <row r="654" spans="1:2" x14ac:dyDescent="0.2">
      <c r="A654" s="12"/>
      <c r="B654" s="9"/>
    </row>
    <row r="655" spans="1:2" x14ac:dyDescent="0.2">
      <c r="A655" s="12"/>
      <c r="B655" s="9"/>
    </row>
    <row r="656" spans="1:2" x14ac:dyDescent="0.2">
      <c r="A656" s="12"/>
      <c r="B656" s="9"/>
    </row>
    <row r="657" spans="1:2" x14ac:dyDescent="0.2">
      <c r="A657" s="12"/>
      <c r="B657" s="9"/>
    </row>
    <row r="658" spans="1:2" x14ac:dyDescent="0.2">
      <c r="A658" s="12"/>
      <c r="B658" s="9"/>
    </row>
    <row r="659" spans="1:2" x14ac:dyDescent="0.2">
      <c r="A659" s="12"/>
      <c r="B659" s="9"/>
    </row>
    <row r="660" spans="1:2" x14ac:dyDescent="0.2">
      <c r="A660" s="12"/>
      <c r="B660" s="9"/>
    </row>
    <row r="661" spans="1:2" x14ac:dyDescent="0.2">
      <c r="A661" s="12"/>
      <c r="B661" s="9"/>
    </row>
    <row r="662" spans="1:2" x14ac:dyDescent="0.2">
      <c r="A662" s="12"/>
      <c r="B662" s="9"/>
    </row>
    <row r="663" spans="1:2" x14ac:dyDescent="0.2">
      <c r="A663" s="12"/>
      <c r="B663" s="9"/>
    </row>
    <row r="664" spans="1:2" x14ac:dyDescent="0.2">
      <c r="A664" s="12"/>
      <c r="B664" s="9"/>
    </row>
    <row r="665" spans="1:2" x14ac:dyDescent="0.2">
      <c r="A665" s="12"/>
      <c r="B665" s="9"/>
    </row>
    <row r="666" spans="1:2" x14ac:dyDescent="0.2">
      <c r="A666" s="12"/>
      <c r="B666" s="9"/>
    </row>
    <row r="667" spans="1:2" x14ac:dyDescent="0.2">
      <c r="A667" s="12"/>
      <c r="B667" s="9"/>
    </row>
    <row r="668" spans="1:2" x14ac:dyDescent="0.2">
      <c r="A668" s="12"/>
      <c r="B668" s="9"/>
    </row>
    <row r="669" spans="1:2" x14ac:dyDescent="0.2">
      <c r="A669" s="12"/>
      <c r="B669" s="9"/>
    </row>
    <row r="670" spans="1:2" x14ac:dyDescent="0.2">
      <c r="A670" s="12"/>
      <c r="B670" s="9"/>
    </row>
    <row r="671" spans="1:2" x14ac:dyDescent="0.2">
      <c r="A671" s="12"/>
      <c r="B671" s="9"/>
    </row>
    <row r="672" spans="1:2" x14ac:dyDescent="0.2">
      <c r="A672" s="12"/>
      <c r="B672" s="9"/>
    </row>
    <row r="673" spans="1:2" x14ac:dyDescent="0.2">
      <c r="A673" s="12"/>
      <c r="B673" s="9"/>
    </row>
    <row r="674" spans="1:2" x14ac:dyDescent="0.2">
      <c r="A674" s="12"/>
      <c r="B674" s="9"/>
    </row>
    <row r="675" spans="1:2" x14ac:dyDescent="0.2">
      <c r="A675" s="12"/>
      <c r="B675" s="9"/>
    </row>
    <row r="676" spans="1:2" x14ac:dyDescent="0.2">
      <c r="A676" s="12"/>
      <c r="B676" s="9"/>
    </row>
    <row r="677" spans="1:2" x14ac:dyDescent="0.2">
      <c r="A677" s="12"/>
      <c r="B677" s="9"/>
    </row>
    <row r="678" spans="1:2" x14ac:dyDescent="0.2">
      <c r="A678" s="12"/>
      <c r="B678" s="9"/>
    </row>
    <row r="679" spans="1:2" x14ac:dyDescent="0.2">
      <c r="A679" s="12"/>
      <c r="B679" s="9"/>
    </row>
    <row r="680" spans="1:2" x14ac:dyDescent="0.2">
      <c r="A680" s="12"/>
      <c r="B680" s="9"/>
    </row>
    <row r="681" spans="1:2" x14ac:dyDescent="0.2">
      <c r="A681" s="12"/>
      <c r="B681" s="9"/>
    </row>
    <row r="682" spans="1:2" x14ac:dyDescent="0.2">
      <c r="A682" s="12"/>
      <c r="B682" s="9"/>
    </row>
    <row r="683" spans="1:2" x14ac:dyDescent="0.2">
      <c r="A683" s="12"/>
      <c r="B683" s="9"/>
    </row>
    <row r="684" spans="1:2" x14ac:dyDescent="0.2">
      <c r="A684" s="12"/>
      <c r="B684" s="9"/>
    </row>
    <row r="685" spans="1:2" x14ac:dyDescent="0.2">
      <c r="A685" s="12"/>
      <c r="B685" s="9"/>
    </row>
    <row r="686" spans="1:2" x14ac:dyDescent="0.2">
      <c r="A686" s="12"/>
      <c r="B686" s="9"/>
    </row>
    <row r="687" spans="1:2" x14ac:dyDescent="0.2">
      <c r="A687" s="12"/>
      <c r="B687" s="9"/>
    </row>
    <row r="688" spans="1:2" x14ac:dyDescent="0.2">
      <c r="A688" s="12"/>
      <c r="B688" s="9"/>
    </row>
    <row r="689" spans="1:2" x14ac:dyDescent="0.2">
      <c r="A689" s="12"/>
      <c r="B689" s="9"/>
    </row>
    <row r="690" spans="1:2" x14ac:dyDescent="0.2">
      <c r="A690" s="12"/>
      <c r="B690" s="9"/>
    </row>
    <row r="691" spans="1:2" x14ac:dyDescent="0.2">
      <c r="A691" s="12"/>
      <c r="B691" s="9"/>
    </row>
    <row r="692" spans="1:2" x14ac:dyDescent="0.2">
      <c r="A692" s="12"/>
      <c r="B692" s="9"/>
    </row>
    <row r="693" spans="1:2" x14ac:dyDescent="0.2">
      <c r="A693" s="12"/>
      <c r="B693" s="9"/>
    </row>
    <row r="694" spans="1:2" x14ac:dyDescent="0.2">
      <c r="A694" s="12"/>
      <c r="B694" s="9"/>
    </row>
    <row r="695" spans="1:2" x14ac:dyDescent="0.2">
      <c r="A695" s="12"/>
      <c r="B695" s="9"/>
    </row>
    <row r="696" spans="1:2" x14ac:dyDescent="0.2">
      <c r="A696" s="12"/>
      <c r="B696" s="9"/>
    </row>
    <row r="697" spans="1:2" x14ac:dyDescent="0.2">
      <c r="A697" s="12"/>
      <c r="B697" s="9"/>
    </row>
    <row r="698" spans="1:2" x14ac:dyDescent="0.2">
      <c r="A698" s="12"/>
      <c r="B698" s="9"/>
    </row>
    <row r="699" spans="1:2" x14ac:dyDescent="0.2">
      <c r="A699" s="12"/>
      <c r="B699" s="9"/>
    </row>
    <row r="700" spans="1:2" x14ac:dyDescent="0.2">
      <c r="A700" s="12"/>
      <c r="B700" s="9"/>
    </row>
    <row r="701" spans="1:2" x14ac:dyDescent="0.2">
      <c r="A701" s="12"/>
      <c r="B701" s="9"/>
    </row>
    <row r="702" spans="1:2" x14ac:dyDescent="0.2">
      <c r="A702" s="12"/>
      <c r="B702" s="9"/>
    </row>
    <row r="703" spans="1:2" x14ac:dyDescent="0.2">
      <c r="A703" s="12"/>
      <c r="B703" s="9"/>
    </row>
    <row r="704" spans="1:2" x14ac:dyDescent="0.2">
      <c r="A704" s="12"/>
      <c r="B704" s="9"/>
    </row>
    <row r="705" spans="1:2" x14ac:dyDescent="0.2">
      <c r="A705" s="12"/>
      <c r="B705" s="9"/>
    </row>
    <row r="706" spans="1:2" x14ac:dyDescent="0.2">
      <c r="A706" s="12"/>
      <c r="B706" s="9"/>
    </row>
    <row r="707" spans="1:2" x14ac:dyDescent="0.2">
      <c r="A707" s="12"/>
      <c r="B707" s="9"/>
    </row>
    <row r="708" spans="1:2" x14ac:dyDescent="0.2">
      <c r="A708" s="12"/>
      <c r="B708" s="9"/>
    </row>
    <row r="709" spans="1:2" x14ac:dyDescent="0.2">
      <c r="A709" s="12"/>
      <c r="B709" s="9"/>
    </row>
    <row r="710" spans="1:2" x14ac:dyDescent="0.2">
      <c r="A710" s="12"/>
      <c r="B710" s="9"/>
    </row>
    <row r="711" spans="1:2" x14ac:dyDescent="0.2">
      <c r="A711" s="12"/>
      <c r="B711" s="9"/>
    </row>
    <row r="712" spans="1:2" x14ac:dyDescent="0.2">
      <c r="A712" s="12"/>
      <c r="B712" s="9"/>
    </row>
    <row r="713" spans="1:2" x14ac:dyDescent="0.2">
      <c r="A713" s="12"/>
      <c r="B713" s="9"/>
    </row>
    <row r="714" spans="1:2" x14ac:dyDescent="0.2">
      <c r="A714" s="12"/>
      <c r="B714" s="9"/>
    </row>
    <row r="715" spans="1:2" x14ac:dyDescent="0.2">
      <c r="A715" s="12"/>
      <c r="B715" s="9"/>
    </row>
    <row r="716" spans="1:2" x14ac:dyDescent="0.2">
      <c r="A716" s="12"/>
      <c r="B716" s="9"/>
    </row>
    <row r="717" spans="1:2" x14ac:dyDescent="0.2">
      <c r="A717" s="12"/>
      <c r="B717" s="9"/>
    </row>
    <row r="718" spans="1:2" x14ac:dyDescent="0.2">
      <c r="A718" s="12"/>
      <c r="B718" s="9"/>
    </row>
    <row r="719" spans="1:2" x14ac:dyDescent="0.2">
      <c r="A719" s="12"/>
      <c r="B719" s="9"/>
    </row>
    <row r="720" spans="1:2" x14ac:dyDescent="0.2">
      <c r="A720" s="12"/>
      <c r="B720" s="9"/>
    </row>
    <row r="721" spans="1:2" x14ac:dyDescent="0.2">
      <c r="A721" s="12"/>
      <c r="B721" s="9"/>
    </row>
    <row r="722" spans="1:2" x14ac:dyDescent="0.2">
      <c r="A722" s="12"/>
      <c r="B722" s="9"/>
    </row>
    <row r="723" spans="1:2" x14ac:dyDescent="0.2">
      <c r="A723" s="12"/>
      <c r="B723" s="9"/>
    </row>
    <row r="724" spans="1:2" x14ac:dyDescent="0.2">
      <c r="A724" s="12"/>
      <c r="B724" s="9"/>
    </row>
    <row r="725" spans="1:2" x14ac:dyDescent="0.2">
      <c r="A725" s="12"/>
      <c r="B725" s="9"/>
    </row>
    <row r="726" spans="1:2" x14ac:dyDescent="0.2">
      <c r="A726" s="12"/>
      <c r="B726" s="9"/>
    </row>
    <row r="727" spans="1:2" x14ac:dyDescent="0.2">
      <c r="A727" s="12"/>
      <c r="B727" s="9"/>
    </row>
    <row r="728" spans="1:2" x14ac:dyDescent="0.2">
      <c r="A728" s="12"/>
      <c r="B728" s="9"/>
    </row>
    <row r="729" spans="1:2" x14ac:dyDescent="0.2">
      <c r="A729" s="12"/>
      <c r="B729" s="9"/>
    </row>
    <row r="730" spans="1:2" x14ac:dyDescent="0.2">
      <c r="A730" s="12"/>
      <c r="B730" s="9"/>
    </row>
    <row r="731" spans="1:2" x14ac:dyDescent="0.2">
      <c r="A731" s="12"/>
      <c r="B731" s="9"/>
    </row>
    <row r="732" spans="1:2" x14ac:dyDescent="0.2">
      <c r="A732" s="12"/>
      <c r="B732" s="9"/>
    </row>
    <row r="733" spans="1:2" x14ac:dyDescent="0.2">
      <c r="A733" s="12"/>
      <c r="B733" s="9"/>
    </row>
    <row r="734" spans="1:2" x14ac:dyDescent="0.2">
      <c r="A734" s="12"/>
      <c r="B734" s="9"/>
    </row>
    <row r="735" spans="1:2" x14ac:dyDescent="0.2">
      <c r="A735" s="12"/>
      <c r="B735" s="9"/>
    </row>
    <row r="736" spans="1:2" x14ac:dyDescent="0.2">
      <c r="A736" s="12"/>
      <c r="B736" s="9"/>
    </row>
    <row r="737" spans="1:2" x14ac:dyDescent="0.2">
      <c r="A737" s="12"/>
      <c r="B737" s="9"/>
    </row>
    <row r="738" spans="1:2" x14ac:dyDescent="0.2">
      <c r="A738" s="12"/>
      <c r="B738" s="9"/>
    </row>
    <row r="739" spans="1:2" x14ac:dyDescent="0.2">
      <c r="A739" s="12"/>
      <c r="B739" s="9"/>
    </row>
    <row r="740" spans="1:2" x14ac:dyDescent="0.2">
      <c r="A740" s="12"/>
      <c r="B740" s="9"/>
    </row>
    <row r="741" spans="1:2" x14ac:dyDescent="0.2">
      <c r="A741" s="12"/>
      <c r="B741" s="9"/>
    </row>
    <row r="742" spans="1:2" x14ac:dyDescent="0.2">
      <c r="A742" s="12"/>
      <c r="B742" s="9"/>
    </row>
    <row r="743" spans="1:2" x14ac:dyDescent="0.2">
      <c r="A743" s="12"/>
      <c r="B743" s="9"/>
    </row>
    <row r="744" spans="1:2" x14ac:dyDescent="0.2">
      <c r="A744" s="12"/>
      <c r="B744" s="9"/>
    </row>
    <row r="745" spans="1:2" x14ac:dyDescent="0.2">
      <c r="A745" s="12"/>
      <c r="B745" s="9"/>
    </row>
    <row r="746" spans="1:2" x14ac:dyDescent="0.2">
      <c r="A746" s="12"/>
      <c r="B746" s="9"/>
    </row>
    <row r="747" spans="1:2" x14ac:dyDescent="0.2">
      <c r="A747" s="12"/>
      <c r="B747" s="9"/>
    </row>
    <row r="748" spans="1:2" x14ac:dyDescent="0.2">
      <c r="A748" s="12"/>
      <c r="B748" s="9"/>
    </row>
    <row r="749" spans="1:2" x14ac:dyDescent="0.2">
      <c r="A749" s="12"/>
      <c r="B749" s="9"/>
    </row>
    <row r="750" spans="1:2" x14ac:dyDescent="0.2">
      <c r="A750" s="12"/>
      <c r="B750" s="9"/>
    </row>
    <row r="751" spans="1:2" x14ac:dyDescent="0.2">
      <c r="A751" s="12"/>
      <c r="B751" s="9"/>
    </row>
    <row r="752" spans="1:2" x14ac:dyDescent="0.2">
      <c r="A752" s="12"/>
      <c r="B752" s="9"/>
    </row>
    <row r="753" spans="1:2" x14ac:dyDescent="0.2">
      <c r="A753" s="12"/>
      <c r="B753" s="9"/>
    </row>
    <row r="754" spans="1:2" x14ac:dyDescent="0.2">
      <c r="A754" s="12"/>
      <c r="B754" s="9"/>
    </row>
    <row r="755" spans="1:2" x14ac:dyDescent="0.2">
      <c r="A755" s="12"/>
      <c r="B755" s="9"/>
    </row>
    <row r="756" spans="1:2" x14ac:dyDescent="0.2">
      <c r="A756" s="12"/>
      <c r="B756" s="9"/>
    </row>
    <row r="757" spans="1:2" x14ac:dyDescent="0.2">
      <c r="A757" s="12"/>
      <c r="B757" s="9"/>
    </row>
    <row r="758" spans="1:2" x14ac:dyDescent="0.2">
      <c r="A758" s="12"/>
      <c r="B758" s="9"/>
    </row>
    <row r="759" spans="1:2" x14ac:dyDescent="0.2">
      <c r="A759" s="12"/>
      <c r="B759" s="9"/>
    </row>
    <row r="760" spans="1:2" x14ac:dyDescent="0.2">
      <c r="A760" s="12"/>
      <c r="B760" s="9"/>
    </row>
    <row r="761" spans="1:2" x14ac:dyDescent="0.2">
      <c r="A761" s="12"/>
      <c r="B761" s="9"/>
    </row>
    <row r="762" spans="1:2" x14ac:dyDescent="0.2">
      <c r="A762" s="12"/>
      <c r="B762" s="9"/>
    </row>
    <row r="763" spans="1:2" x14ac:dyDescent="0.2">
      <c r="A763" s="12"/>
      <c r="B763" s="9"/>
    </row>
    <row r="764" spans="1:2" x14ac:dyDescent="0.2">
      <c r="A764" s="12"/>
      <c r="B764" s="9"/>
    </row>
    <row r="765" spans="1:2" x14ac:dyDescent="0.2">
      <c r="A765" s="12"/>
      <c r="B765" s="9"/>
    </row>
    <row r="766" spans="1:2" x14ac:dyDescent="0.2">
      <c r="A766" s="12"/>
      <c r="B766" s="9"/>
    </row>
    <row r="767" spans="1:2" x14ac:dyDescent="0.2">
      <c r="A767" s="12"/>
      <c r="B767" s="9"/>
    </row>
    <row r="768" spans="1:2" x14ac:dyDescent="0.2">
      <c r="A768" s="12"/>
      <c r="B768" s="9"/>
    </row>
    <row r="769" spans="1:2" x14ac:dyDescent="0.2">
      <c r="A769" s="12"/>
      <c r="B769" s="9"/>
    </row>
    <row r="770" spans="1:2" x14ac:dyDescent="0.2">
      <c r="A770" s="12"/>
      <c r="B770" s="9"/>
    </row>
    <row r="771" spans="1:2" x14ac:dyDescent="0.2">
      <c r="A771" s="12"/>
      <c r="B771" s="9"/>
    </row>
    <row r="772" spans="1:2" x14ac:dyDescent="0.2">
      <c r="A772" s="12"/>
      <c r="B772" s="9"/>
    </row>
    <row r="773" spans="1:2" x14ac:dyDescent="0.2">
      <c r="A773" s="12"/>
      <c r="B773" s="9"/>
    </row>
    <row r="774" spans="1:2" x14ac:dyDescent="0.2">
      <c r="A774" s="12"/>
      <c r="B774" s="9"/>
    </row>
    <row r="775" spans="1:2" x14ac:dyDescent="0.2">
      <c r="A775" s="12"/>
      <c r="B775" s="9"/>
    </row>
    <row r="776" spans="1:2" x14ac:dyDescent="0.2">
      <c r="A776" s="12"/>
      <c r="B776" s="9"/>
    </row>
    <row r="777" spans="1:2" x14ac:dyDescent="0.2">
      <c r="A777" s="12"/>
      <c r="B777" s="9"/>
    </row>
    <row r="778" spans="1:2" x14ac:dyDescent="0.2">
      <c r="A778" s="12"/>
      <c r="B778" s="9"/>
    </row>
    <row r="779" spans="1:2" x14ac:dyDescent="0.2">
      <c r="A779" s="12"/>
      <c r="B779" s="9"/>
    </row>
    <row r="780" spans="1:2" x14ac:dyDescent="0.2">
      <c r="A780" s="12"/>
      <c r="B780" s="9"/>
    </row>
    <row r="781" spans="1:2" x14ac:dyDescent="0.2">
      <c r="A781" s="12"/>
      <c r="B781" s="9"/>
    </row>
    <row r="782" spans="1:2" x14ac:dyDescent="0.2">
      <c r="A782" s="12"/>
      <c r="B782" s="9"/>
    </row>
    <row r="783" spans="1:2" x14ac:dyDescent="0.2">
      <c r="A783" s="12"/>
      <c r="B783" s="9"/>
    </row>
    <row r="784" spans="1:2" x14ac:dyDescent="0.2">
      <c r="A784" s="12"/>
      <c r="B784" s="9"/>
    </row>
    <row r="785" spans="1:2" x14ac:dyDescent="0.2">
      <c r="A785" s="12"/>
      <c r="B785" s="9"/>
    </row>
    <row r="786" spans="1:2" x14ac:dyDescent="0.2">
      <c r="A786" s="12"/>
      <c r="B786" s="9"/>
    </row>
    <row r="787" spans="1:2" x14ac:dyDescent="0.2">
      <c r="A787" s="12"/>
      <c r="B787" s="9"/>
    </row>
    <row r="788" spans="1:2" x14ac:dyDescent="0.2">
      <c r="A788" s="12"/>
      <c r="B788" s="9"/>
    </row>
    <row r="789" spans="1:2" x14ac:dyDescent="0.2">
      <c r="A789" s="12"/>
      <c r="B789" s="9"/>
    </row>
    <row r="790" spans="1:2" x14ac:dyDescent="0.2">
      <c r="A790" s="12"/>
      <c r="B790" s="9"/>
    </row>
    <row r="791" spans="1:2" x14ac:dyDescent="0.2">
      <c r="A791" s="12"/>
      <c r="B791" s="9"/>
    </row>
    <row r="792" spans="1:2" x14ac:dyDescent="0.2">
      <c r="A792" s="12"/>
      <c r="B792" s="9"/>
    </row>
    <row r="793" spans="1:2" x14ac:dyDescent="0.2">
      <c r="A793" s="12"/>
      <c r="B793" s="9"/>
    </row>
    <row r="794" spans="1:2" x14ac:dyDescent="0.2">
      <c r="A794" s="12"/>
      <c r="B794" s="9"/>
    </row>
    <row r="795" spans="1:2" x14ac:dyDescent="0.2">
      <c r="A795" s="12"/>
      <c r="B795" s="9"/>
    </row>
    <row r="796" spans="1:2" x14ac:dyDescent="0.2">
      <c r="A796" s="12"/>
      <c r="B796" s="9"/>
    </row>
    <row r="797" spans="1:2" x14ac:dyDescent="0.2">
      <c r="A797" s="12"/>
      <c r="B797" s="9"/>
    </row>
    <row r="798" spans="1:2" x14ac:dyDescent="0.2">
      <c r="A798" s="12"/>
      <c r="B798" s="9"/>
    </row>
    <row r="799" spans="1:2" x14ac:dyDescent="0.2">
      <c r="A799" s="12"/>
      <c r="B799" s="9"/>
    </row>
    <row r="800" spans="1:2" x14ac:dyDescent="0.2">
      <c r="A800" s="12"/>
      <c r="B800" s="9"/>
    </row>
    <row r="801" spans="1:2" x14ac:dyDescent="0.2">
      <c r="A801" s="12"/>
      <c r="B801" s="9"/>
    </row>
    <row r="802" spans="1:2" x14ac:dyDescent="0.2">
      <c r="A802" s="12"/>
      <c r="B802" s="9"/>
    </row>
    <row r="803" spans="1:2" x14ac:dyDescent="0.2">
      <c r="A803" s="12"/>
      <c r="B803" s="9"/>
    </row>
    <row r="804" spans="1:2" x14ac:dyDescent="0.2">
      <c r="A804" s="12"/>
      <c r="B804" s="9"/>
    </row>
    <row r="805" spans="1:2" x14ac:dyDescent="0.2">
      <c r="A805" s="12"/>
      <c r="B805" s="9"/>
    </row>
    <row r="806" spans="1:2" x14ac:dyDescent="0.2">
      <c r="A806" s="12"/>
      <c r="B806" s="9"/>
    </row>
    <row r="807" spans="1:2" x14ac:dyDescent="0.2">
      <c r="A807" s="12"/>
      <c r="B807" s="9"/>
    </row>
    <row r="808" spans="1:2" x14ac:dyDescent="0.2">
      <c r="A808" s="12"/>
      <c r="B808" s="9"/>
    </row>
    <row r="809" spans="1:2" x14ac:dyDescent="0.2">
      <c r="A809" s="12"/>
      <c r="B809" s="9"/>
    </row>
    <row r="810" spans="1:2" x14ac:dyDescent="0.2">
      <c r="A810" s="12"/>
      <c r="B810" s="9"/>
    </row>
    <row r="811" spans="1:2" x14ac:dyDescent="0.2">
      <c r="A811" s="12"/>
      <c r="B811" s="9"/>
    </row>
    <row r="812" spans="1:2" x14ac:dyDescent="0.2">
      <c r="A812" s="12"/>
      <c r="B812" s="9"/>
    </row>
    <row r="813" spans="1:2" x14ac:dyDescent="0.2">
      <c r="A813" s="12"/>
      <c r="B813" s="9"/>
    </row>
    <row r="814" spans="1:2" x14ac:dyDescent="0.2">
      <c r="A814" s="12"/>
      <c r="B814" s="9"/>
    </row>
    <row r="815" spans="1:2" x14ac:dyDescent="0.2">
      <c r="A815" s="12"/>
      <c r="B815" s="9"/>
    </row>
    <row r="816" spans="1:2" x14ac:dyDescent="0.2">
      <c r="A816" s="12"/>
      <c r="B816" s="9"/>
    </row>
    <row r="817" spans="1:2" x14ac:dyDescent="0.2">
      <c r="A817" s="12"/>
      <c r="B817" s="9"/>
    </row>
    <row r="818" spans="1:2" x14ac:dyDescent="0.2">
      <c r="A818" s="12"/>
      <c r="B818" s="9"/>
    </row>
    <row r="819" spans="1:2" x14ac:dyDescent="0.2">
      <c r="A819" s="12"/>
      <c r="B819" s="9"/>
    </row>
    <row r="820" spans="1:2" x14ac:dyDescent="0.2">
      <c r="A820" s="12"/>
      <c r="B820" s="9"/>
    </row>
    <row r="821" spans="1:2" x14ac:dyDescent="0.2">
      <c r="A821" s="12"/>
      <c r="B821" s="9"/>
    </row>
    <row r="822" spans="1:2" x14ac:dyDescent="0.2">
      <c r="A822" s="12"/>
      <c r="B822" s="9"/>
    </row>
    <row r="823" spans="1:2" x14ac:dyDescent="0.2">
      <c r="A823" s="12"/>
      <c r="B823" s="9"/>
    </row>
    <row r="824" spans="1:2" x14ac:dyDescent="0.2">
      <c r="A824" s="12"/>
      <c r="B824" s="9"/>
    </row>
    <row r="825" spans="1:2" x14ac:dyDescent="0.2">
      <c r="A825" s="12"/>
      <c r="B825" s="9"/>
    </row>
    <row r="826" spans="1:2" x14ac:dyDescent="0.2">
      <c r="A826" s="12"/>
      <c r="B826" s="9"/>
    </row>
    <row r="827" spans="1:2" x14ac:dyDescent="0.2">
      <c r="A827" s="12"/>
      <c r="B827" s="9"/>
    </row>
    <row r="828" spans="1:2" x14ac:dyDescent="0.2">
      <c r="A828" s="12"/>
      <c r="B828" s="9"/>
    </row>
    <row r="829" spans="1:2" x14ac:dyDescent="0.2">
      <c r="A829" s="12"/>
      <c r="B829" s="9"/>
    </row>
    <row r="830" spans="1:2" x14ac:dyDescent="0.2">
      <c r="A830" s="12"/>
      <c r="B830" s="9"/>
    </row>
    <row r="831" spans="1:2" x14ac:dyDescent="0.2">
      <c r="A831" s="12"/>
      <c r="B831" s="9"/>
    </row>
    <row r="832" spans="1:2" x14ac:dyDescent="0.2">
      <c r="A832" s="12"/>
      <c r="B832" s="9"/>
    </row>
    <row r="833" spans="1:2" x14ac:dyDescent="0.2">
      <c r="A833" s="12"/>
      <c r="B833" s="9"/>
    </row>
    <row r="834" spans="1:2" x14ac:dyDescent="0.2">
      <c r="A834" s="12"/>
      <c r="B834" s="9"/>
    </row>
    <row r="835" spans="1:2" x14ac:dyDescent="0.2">
      <c r="A835" s="12"/>
      <c r="B835" s="9"/>
    </row>
    <row r="836" spans="1:2" x14ac:dyDescent="0.2">
      <c r="A836" s="12"/>
      <c r="B836" s="9"/>
    </row>
    <row r="837" spans="1:2" x14ac:dyDescent="0.2">
      <c r="A837" s="12"/>
      <c r="B837" s="9"/>
    </row>
    <row r="838" spans="1:2" x14ac:dyDescent="0.2">
      <c r="A838" s="12"/>
      <c r="B838" s="9"/>
    </row>
    <row r="839" spans="1:2" x14ac:dyDescent="0.2">
      <c r="A839" s="12"/>
      <c r="B839" s="9"/>
    </row>
    <row r="840" spans="1:2" x14ac:dyDescent="0.2">
      <c r="A840" s="12"/>
      <c r="B840" s="9"/>
    </row>
    <row r="841" spans="1:2" x14ac:dyDescent="0.2">
      <c r="A841" s="12"/>
      <c r="B841" s="9"/>
    </row>
    <row r="842" spans="1:2" x14ac:dyDescent="0.2">
      <c r="A842" s="12"/>
      <c r="B842" s="9"/>
    </row>
    <row r="843" spans="1:2" x14ac:dyDescent="0.2">
      <c r="A843" s="12"/>
      <c r="B843" s="9"/>
    </row>
    <row r="844" spans="1:2" x14ac:dyDescent="0.2">
      <c r="A844" s="12"/>
      <c r="B844" s="9"/>
    </row>
    <row r="845" spans="1:2" x14ac:dyDescent="0.2">
      <c r="A845" s="12"/>
      <c r="B845" s="9"/>
    </row>
    <row r="846" spans="1:2" x14ac:dyDescent="0.2">
      <c r="A846" s="12"/>
      <c r="B846" s="9"/>
    </row>
    <row r="847" spans="1:2" x14ac:dyDescent="0.2">
      <c r="A847" s="12"/>
      <c r="B847" s="9"/>
    </row>
    <row r="848" spans="1:2" x14ac:dyDescent="0.2">
      <c r="A848" s="12"/>
      <c r="B848" s="9"/>
    </row>
    <row r="849" spans="1:2" x14ac:dyDescent="0.2">
      <c r="A849" s="12"/>
      <c r="B849" s="9"/>
    </row>
    <row r="850" spans="1:2" x14ac:dyDescent="0.2">
      <c r="A850" s="12"/>
      <c r="B850" s="9"/>
    </row>
    <row r="851" spans="1:2" x14ac:dyDescent="0.2">
      <c r="A851" s="12"/>
      <c r="B851" s="9"/>
    </row>
    <row r="852" spans="1:2" x14ac:dyDescent="0.2">
      <c r="A852" s="12"/>
      <c r="B852" s="9"/>
    </row>
    <row r="853" spans="1:2" x14ac:dyDescent="0.2">
      <c r="A853" s="12"/>
      <c r="B853" s="9"/>
    </row>
    <row r="854" spans="1:2" x14ac:dyDescent="0.2">
      <c r="A854" s="12"/>
      <c r="B854" s="9"/>
    </row>
    <row r="855" spans="1:2" x14ac:dyDescent="0.2">
      <c r="A855" s="12"/>
      <c r="B855" s="9"/>
    </row>
    <row r="856" spans="1:2" x14ac:dyDescent="0.2">
      <c r="A856" s="12"/>
      <c r="B856" s="9"/>
    </row>
    <row r="857" spans="1:2" x14ac:dyDescent="0.2">
      <c r="A857" s="12"/>
      <c r="B857" s="9"/>
    </row>
    <row r="858" spans="1:2" x14ac:dyDescent="0.2">
      <c r="A858" s="12"/>
      <c r="B858" s="9"/>
    </row>
    <row r="859" spans="1:2" x14ac:dyDescent="0.2">
      <c r="A859" s="12"/>
      <c r="B859" s="9"/>
    </row>
    <row r="860" spans="1:2" x14ac:dyDescent="0.2">
      <c r="A860" s="12"/>
      <c r="B860" s="9"/>
    </row>
    <row r="861" spans="1:2" x14ac:dyDescent="0.2">
      <c r="A861" s="12"/>
      <c r="B861" s="9"/>
    </row>
    <row r="862" spans="1:2" x14ac:dyDescent="0.2">
      <c r="A862" s="12"/>
      <c r="B862" s="9"/>
    </row>
    <row r="863" spans="1:2" x14ac:dyDescent="0.2">
      <c r="A863" s="12"/>
      <c r="B863" s="9"/>
    </row>
    <row r="864" spans="1:2" x14ac:dyDescent="0.2">
      <c r="A864" s="12"/>
      <c r="B864" s="9"/>
    </row>
    <row r="865" spans="1:2" x14ac:dyDescent="0.2">
      <c r="A865" s="12"/>
      <c r="B865" s="9"/>
    </row>
    <row r="866" spans="1:2" x14ac:dyDescent="0.2">
      <c r="A866" s="12"/>
      <c r="B866" s="9"/>
    </row>
    <row r="867" spans="1:2" x14ac:dyDescent="0.2">
      <c r="A867" s="12"/>
      <c r="B867" s="9"/>
    </row>
    <row r="868" spans="1:2" x14ac:dyDescent="0.2">
      <c r="A868" s="12"/>
      <c r="B868" s="9"/>
    </row>
    <row r="869" spans="1:2" x14ac:dyDescent="0.2">
      <c r="A869" s="12"/>
      <c r="B869" s="9"/>
    </row>
    <row r="870" spans="1:2" x14ac:dyDescent="0.2">
      <c r="A870" s="12"/>
      <c r="B870" s="9"/>
    </row>
    <row r="871" spans="1:2" x14ac:dyDescent="0.2">
      <c r="A871" s="12"/>
      <c r="B871" s="9"/>
    </row>
    <row r="872" spans="1:2" x14ac:dyDescent="0.2">
      <c r="A872" s="12"/>
      <c r="B872" s="9"/>
    </row>
    <row r="873" spans="1:2" x14ac:dyDescent="0.2">
      <c r="A873" s="12"/>
      <c r="B873" s="9"/>
    </row>
    <row r="874" spans="1:2" x14ac:dyDescent="0.2">
      <c r="A874" s="12"/>
      <c r="B874" s="9"/>
    </row>
    <row r="875" spans="1:2" x14ac:dyDescent="0.2">
      <c r="A875" s="12"/>
      <c r="B875" s="9"/>
    </row>
    <row r="876" spans="1:2" x14ac:dyDescent="0.2">
      <c r="A876" s="12"/>
      <c r="B876" s="9"/>
    </row>
    <row r="877" spans="1:2" x14ac:dyDescent="0.2">
      <c r="A877" s="12"/>
      <c r="B877" s="9"/>
    </row>
    <row r="878" spans="1:2" x14ac:dyDescent="0.2">
      <c r="A878" s="12"/>
      <c r="B878" s="9"/>
    </row>
    <row r="879" spans="1:2" x14ac:dyDescent="0.2">
      <c r="A879" s="12"/>
      <c r="B879" s="9"/>
    </row>
    <row r="880" spans="1:2" x14ac:dyDescent="0.2">
      <c r="A880" s="12"/>
      <c r="B880" s="9"/>
    </row>
    <row r="881" spans="1:2" x14ac:dyDescent="0.2">
      <c r="A881" s="12"/>
      <c r="B881" s="9"/>
    </row>
    <row r="882" spans="1:2" x14ac:dyDescent="0.2">
      <c r="A882" s="12"/>
      <c r="B882" s="9"/>
    </row>
    <row r="883" spans="1:2" x14ac:dyDescent="0.2">
      <c r="A883" s="12"/>
      <c r="B883" s="9"/>
    </row>
    <row r="884" spans="1:2" x14ac:dyDescent="0.2">
      <c r="A884" s="12"/>
      <c r="B884" s="9"/>
    </row>
    <row r="885" spans="1:2" x14ac:dyDescent="0.2">
      <c r="A885" s="12"/>
      <c r="B885" s="9"/>
    </row>
    <row r="886" spans="1:2" x14ac:dyDescent="0.2">
      <c r="A886" s="12"/>
      <c r="B886" s="9"/>
    </row>
    <row r="887" spans="1:2" x14ac:dyDescent="0.2">
      <c r="A887" s="12"/>
      <c r="B887" s="9"/>
    </row>
    <row r="888" spans="1:2" x14ac:dyDescent="0.2">
      <c r="A888" s="12"/>
      <c r="B888" s="9"/>
    </row>
    <row r="889" spans="1:2" x14ac:dyDescent="0.2">
      <c r="A889" s="12"/>
      <c r="B889" s="9"/>
    </row>
    <row r="890" spans="1:2" x14ac:dyDescent="0.2">
      <c r="A890" s="12"/>
      <c r="B890" s="9"/>
    </row>
    <row r="891" spans="1:2" x14ac:dyDescent="0.2">
      <c r="A891" s="12"/>
      <c r="B891" s="9"/>
    </row>
    <row r="892" spans="1:2" x14ac:dyDescent="0.2">
      <c r="A892" s="12"/>
      <c r="B892" s="9"/>
    </row>
    <row r="893" spans="1:2" x14ac:dyDescent="0.2">
      <c r="A893" s="12"/>
      <c r="B893" s="9"/>
    </row>
    <row r="894" spans="1:2" x14ac:dyDescent="0.2">
      <c r="A894" s="12"/>
      <c r="B894" s="9"/>
    </row>
    <row r="895" spans="1:2" x14ac:dyDescent="0.2">
      <c r="A895" s="12"/>
      <c r="B895" s="9"/>
    </row>
    <row r="896" spans="1:2" x14ac:dyDescent="0.2">
      <c r="A896" s="12"/>
      <c r="B896" s="9"/>
    </row>
    <row r="897" spans="1:2" x14ac:dyDescent="0.2">
      <c r="A897" s="12"/>
      <c r="B897" s="9"/>
    </row>
    <row r="898" spans="1:2" x14ac:dyDescent="0.2">
      <c r="A898" s="12"/>
      <c r="B898" s="9"/>
    </row>
    <row r="899" spans="1:2" x14ac:dyDescent="0.2">
      <c r="A899" s="12"/>
      <c r="B899" s="9"/>
    </row>
    <row r="900" spans="1:2" x14ac:dyDescent="0.2">
      <c r="A900" s="12"/>
      <c r="B900" s="9"/>
    </row>
    <row r="901" spans="1:2" x14ac:dyDescent="0.2">
      <c r="A901" s="12"/>
      <c r="B901" s="9"/>
    </row>
    <row r="902" spans="1:2" x14ac:dyDescent="0.2">
      <c r="A902" s="12"/>
      <c r="B902" s="9"/>
    </row>
    <row r="903" spans="1:2" x14ac:dyDescent="0.2">
      <c r="A903" s="12"/>
      <c r="B903" s="9"/>
    </row>
    <row r="904" spans="1:2" x14ac:dyDescent="0.2">
      <c r="A904" s="12"/>
      <c r="B904" s="9"/>
    </row>
    <row r="905" spans="1:2" x14ac:dyDescent="0.2">
      <c r="A905" s="12"/>
      <c r="B905" s="9"/>
    </row>
    <row r="906" spans="1:2" x14ac:dyDescent="0.2">
      <c r="A906" s="12"/>
      <c r="B906" s="9"/>
    </row>
    <row r="907" spans="1:2" x14ac:dyDescent="0.2">
      <c r="A907" s="12"/>
      <c r="B907" s="9"/>
    </row>
    <row r="908" spans="1:2" x14ac:dyDescent="0.2">
      <c r="A908" s="12"/>
      <c r="B908" s="9"/>
    </row>
    <row r="909" spans="1:2" x14ac:dyDescent="0.2">
      <c r="A909" s="12"/>
      <c r="B909" s="9"/>
    </row>
    <row r="910" spans="1:2" x14ac:dyDescent="0.2">
      <c r="A910" s="12"/>
      <c r="B910" s="9"/>
    </row>
    <row r="911" spans="1:2" x14ac:dyDescent="0.2">
      <c r="A911" s="12"/>
      <c r="B911" s="9"/>
    </row>
    <row r="912" spans="1:2" x14ac:dyDescent="0.2">
      <c r="A912" s="12"/>
      <c r="B912" s="9"/>
    </row>
    <row r="913" spans="1:2" x14ac:dyDescent="0.2">
      <c r="A913" s="12"/>
      <c r="B913" s="9"/>
    </row>
    <row r="914" spans="1:2" x14ac:dyDescent="0.2">
      <c r="A914" s="12"/>
      <c r="B914" s="9"/>
    </row>
    <row r="915" spans="1:2" x14ac:dyDescent="0.2">
      <c r="A915" s="12"/>
      <c r="B915" s="9"/>
    </row>
    <row r="916" spans="1:2" x14ac:dyDescent="0.2">
      <c r="A916" s="12"/>
      <c r="B916" s="9"/>
    </row>
    <row r="917" spans="1:2" x14ac:dyDescent="0.2">
      <c r="A917" s="12"/>
      <c r="B917" s="9"/>
    </row>
    <row r="918" spans="1:2" x14ac:dyDescent="0.2">
      <c r="A918" s="12"/>
      <c r="B918" s="9"/>
    </row>
    <row r="919" spans="1:2" x14ac:dyDescent="0.2">
      <c r="A919" s="12"/>
      <c r="B919" s="9"/>
    </row>
    <row r="920" spans="1:2" x14ac:dyDescent="0.2">
      <c r="A920" s="12"/>
      <c r="B920" s="9"/>
    </row>
    <row r="921" spans="1:2" x14ac:dyDescent="0.2">
      <c r="A921" s="12"/>
      <c r="B921" s="9"/>
    </row>
    <row r="922" spans="1:2" x14ac:dyDescent="0.2">
      <c r="A922" s="12"/>
      <c r="B922" s="9"/>
    </row>
    <row r="923" spans="1:2" x14ac:dyDescent="0.2">
      <c r="A923" s="12"/>
      <c r="B923" s="9"/>
    </row>
    <row r="924" spans="1:2" x14ac:dyDescent="0.2">
      <c r="A924" s="12"/>
      <c r="B924" s="9"/>
    </row>
    <row r="925" spans="1:2" x14ac:dyDescent="0.2">
      <c r="A925" s="12"/>
      <c r="B925" s="9"/>
    </row>
    <row r="926" spans="1:2" x14ac:dyDescent="0.2">
      <c r="A926" s="12"/>
      <c r="B926" s="9"/>
    </row>
    <row r="927" spans="1:2" x14ac:dyDescent="0.2">
      <c r="A927" s="12"/>
      <c r="B927" s="9"/>
    </row>
    <row r="928" spans="1:2" x14ac:dyDescent="0.2">
      <c r="A928" s="12"/>
      <c r="B928" s="9"/>
    </row>
    <row r="929" spans="1:2" x14ac:dyDescent="0.2">
      <c r="A929" s="12"/>
      <c r="B929" s="9"/>
    </row>
    <row r="930" spans="1:2" x14ac:dyDescent="0.2">
      <c r="A930" s="12"/>
      <c r="B930" s="9"/>
    </row>
    <row r="931" spans="1:2" x14ac:dyDescent="0.2">
      <c r="A931" s="12"/>
      <c r="B931" s="9"/>
    </row>
    <row r="932" spans="1:2" x14ac:dyDescent="0.2">
      <c r="A932" s="12"/>
      <c r="B932" s="9"/>
    </row>
    <row r="933" spans="1:2" x14ac:dyDescent="0.2">
      <c r="A933" s="12"/>
      <c r="B933" s="9"/>
    </row>
    <row r="934" spans="1:2" x14ac:dyDescent="0.2">
      <c r="A934" s="12"/>
      <c r="B934" s="9"/>
    </row>
    <row r="935" spans="1:2" x14ac:dyDescent="0.2">
      <c r="A935" s="12"/>
      <c r="B935" s="9"/>
    </row>
    <row r="936" spans="1:2" x14ac:dyDescent="0.2">
      <c r="A936" s="12"/>
      <c r="B936" s="9"/>
    </row>
    <row r="937" spans="1:2" x14ac:dyDescent="0.2">
      <c r="A937" s="12"/>
      <c r="B937" s="9"/>
    </row>
    <row r="938" spans="1:2" x14ac:dyDescent="0.2">
      <c r="A938" s="12"/>
      <c r="B938" s="9"/>
    </row>
    <row r="939" spans="1:2" x14ac:dyDescent="0.2">
      <c r="A939" s="12"/>
      <c r="B939" s="9"/>
    </row>
    <row r="940" spans="1:2" x14ac:dyDescent="0.2">
      <c r="A940" s="12"/>
      <c r="B940" s="9"/>
    </row>
    <row r="941" spans="1:2" x14ac:dyDescent="0.2">
      <c r="A941" s="12"/>
      <c r="B941" s="9"/>
    </row>
    <row r="942" spans="1:2" x14ac:dyDescent="0.2">
      <c r="A942" s="12"/>
      <c r="B942" s="9"/>
    </row>
    <row r="943" spans="1:2" x14ac:dyDescent="0.2">
      <c r="A943" s="12"/>
      <c r="B943" s="9"/>
    </row>
    <row r="944" spans="1:2" x14ac:dyDescent="0.2">
      <c r="A944" s="12"/>
      <c r="B944" s="9"/>
    </row>
    <row r="945" spans="1:2" x14ac:dyDescent="0.2">
      <c r="A945" s="12"/>
      <c r="B945" s="9"/>
    </row>
    <row r="946" spans="1:2" x14ac:dyDescent="0.2">
      <c r="A946" s="12"/>
      <c r="B946" s="9"/>
    </row>
    <row r="947" spans="1:2" x14ac:dyDescent="0.2">
      <c r="A947" s="12"/>
      <c r="B947" s="9"/>
    </row>
    <row r="948" spans="1:2" x14ac:dyDescent="0.2">
      <c r="A948" s="12"/>
      <c r="B948" s="9"/>
    </row>
    <row r="949" spans="1:2" x14ac:dyDescent="0.2">
      <c r="A949" s="12"/>
      <c r="B949" s="9"/>
    </row>
    <row r="950" spans="1:2" x14ac:dyDescent="0.2">
      <c r="A950" s="12"/>
      <c r="B950" s="9"/>
    </row>
    <row r="951" spans="1:2" x14ac:dyDescent="0.2">
      <c r="A951" s="12"/>
      <c r="B951" s="9"/>
    </row>
    <row r="952" spans="1:2" x14ac:dyDescent="0.2">
      <c r="A952" s="12"/>
      <c r="B952" s="9"/>
    </row>
    <row r="953" spans="1:2" x14ac:dyDescent="0.2">
      <c r="A953" s="12"/>
      <c r="B953" s="9"/>
    </row>
    <row r="954" spans="1:2" x14ac:dyDescent="0.2">
      <c r="A954" s="12"/>
      <c r="B954" s="9"/>
    </row>
    <row r="955" spans="1:2" x14ac:dyDescent="0.2">
      <c r="A955" s="12"/>
      <c r="B955" s="9"/>
    </row>
    <row r="956" spans="1:2" x14ac:dyDescent="0.2">
      <c r="A956" s="12"/>
      <c r="B956" s="9"/>
    </row>
    <row r="957" spans="1:2" x14ac:dyDescent="0.2">
      <c r="A957" s="12"/>
      <c r="B957" s="9"/>
    </row>
    <row r="958" spans="1:2" x14ac:dyDescent="0.2">
      <c r="A958" s="12"/>
      <c r="B958" s="9"/>
    </row>
    <row r="959" spans="1:2" x14ac:dyDescent="0.2">
      <c r="A959" s="12"/>
      <c r="B959" s="9"/>
    </row>
    <row r="960" spans="1:2" x14ac:dyDescent="0.2">
      <c r="A960" s="12"/>
      <c r="B960" s="9"/>
    </row>
    <row r="961" spans="1:2" x14ac:dyDescent="0.2">
      <c r="A961" s="12"/>
      <c r="B961" s="9"/>
    </row>
    <row r="962" spans="1:2" x14ac:dyDescent="0.2">
      <c r="A962" s="12"/>
      <c r="B962" s="9"/>
    </row>
    <row r="963" spans="1:2" x14ac:dyDescent="0.2">
      <c r="A963" s="12"/>
      <c r="B963" s="9"/>
    </row>
    <row r="964" spans="1:2" x14ac:dyDescent="0.2">
      <c r="A964" s="12"/>
      <c r="B964" s="9"/>
    </row>
    <row r="965" spans="1:2" x14ac:dyDescent="0.2">
      <c r="A965" s="12"/>
      <c r="B965" s="9"/>
    </row>
    <row r="966" spans="1:2" x14ac:dyDescent="0.2">
      <c r="A966" s="12"/>
      <c r="B966" s="9"/>
    </row>
    <row r="967" spans="1:2" x14ac:dyDescent="0.2">
      <c r="A967" s="12"/>
      <c r="B967" s="9"/>
    </row>
    <row r="968" spans="1:2" x14ac:dyDescent="0.2">
      <c r="A968" s="12"/>
      <c r="B968" s="9"/>
    </row>
    <row r="969" spans="1:2" x14ac:dyDescent="0.2">
      <c r="A969" s="12"/>
      <c r="B969" s="9"/>
    </row>
    <row r="970" spans="1:2" x14ac:dyDescent="0.2">
      <c r="A970" s="12"/>
      <c r="B970" s="9"/>
    </row>
    <row r="971" spans="1:2" x14ac:dyDescent="0.2">
      <c r="A971" s="12"/>
      <c r="B971" s="9"/>
    </row>
    <row r="972" spans="1:2" x14ac:dyDescent="0.2">
      <c r="A972" s="12"/>
      <c r="B972" s="9"/>
    </row>
    <row r="973" spans="1:2" x14ac:dyDescent="0.2">
      <c r="A973" s="12"/>
      <c r="B973" s="9"/>
    </row>
    <row r="974" spans="1:2" x14ac:dyDescent="0.2">
      <c r="A974" s="12"/>
      <c r="B974" s="9"/>
    </row>
    <row r="975" spans="1:2" x14ac:dyDescent="0.2">
      <c r="A975" s="12"/>
      <c r="B975" s="9"/>
    </row>
    <row r="976" spans="1:2" x14ac:dyDescent="0.2">
      <c r="A976" s="12"/>
      <c r="B976" s="9"/>
    </row>
    <row r="977" spans="1:2" x14ac:dyDescent="0.2">
      <c r="A977" s="12"/>
      <c r="B977" s="9"/>
    </row>
    <row r="978" spans="1:2" x14ac:dyDescent="0.2">
      <c r="A978" s="12"/>
      <c r="B978" s="9"/>
    </row>
    <row r="979" spans="1:2" x14ac:dyDescent="0.2">
      <c r="A979" s="12"/>
      <c r="B979" s="9"/>
    </row>
    <row r="980" spans="1:2" x14ac:dyDescent="0.2">
      <c r="A980" s="12"/>
      <c r="B980" s="9"/>
    </row>
    <row r="981" spans="1:2" x14ac:dyDescent="0.2">
      <c r="A981" s="12"/>
      <c r="B981" s="9"/>
    </row>
    <row r="982" spans="1:2" x14ac:dyDescent="0.2">
      <c r="A982" s="12"/>
      <c r="B982" s="9"/>
    </row>
    <row r="983" spans="1:2" x14ac:dyDescent="0.2">
      <c r="A983" s="12"/>
      <c r="B983" s="9"/>
    </row>
    <row r="984" spans="1:2" x14ac:dyDescent="0.2">
      <c r="A984" s="12"/>
      <c r="B984" s="9"/>
    </row>
    <row r="985" spans="1:2" x14ac:dyDescent="0.2">
      <c r="A985" s="12"/>
      <c r="B985" s="9"/>
    </row>
    <row r="986" spans="1:2" x14ac:dyDescent="0.2">
      <c r="A986" s="12"/>
      <c r="B986" s="9"/>
    </row>
    <row r="987" spans="1:2" x14ac:dyDescent="0.2">
      <c r="A987" s="12"/>
      <c r="B987" s="9"/>
    </row>
    <row r="988" spans="1:2" x14ac:dyDescent="0.2">
      <c r="A988" s="12"/>
      <c r="B988" s="9"/>
    </row>
    <row r="989" spans="1:2" x14ac:dyDescent="0.2">
      <c r="A989" s="12"/>
      <c r="B989" s="9"/>
    </row>
    <row r="990" spans="1:2" x14ac:dyDescent="0.2">
      <c r="A990" s="12"/>
      <c r="B990" s="9"/>
    </row>
    <row r="991" spans="1:2" x14ac:dyDescent="0.2">
      <c r="A991" s="12"/>
      <c r="B991" s="9"/>
    </row>
    <row r="992" spans="1:2" x14ac:dyDescent="0.2">
      <c r="A992" s="12"/>
      <c r="B992" s="9"/>
    </row>
    <row r="993" spans="1:2" x14ac:dyDescent="0.2">
      <c r="A993" s="12"/>
      <c r="B993" s="9"/>
    </row>
    <row r="994" spans="1:2" x14ac:dyDescent="0.2">
      <c r="A994" s="12"/>
      <c r="B994" s="9"/>
    </row>
    <row r="995" spans="1:2" x14ac:dyDescent="0.2">
      <c r="A995" s="12"/>
      <c r="B995" s="9"/>
    </row>
    <row r="996" spans="1:2" x14ac:dyDescent="0.2">
      <c r="A996" s="12"/>
      <c r="B996" s="9"/>
    </row>
    <row r="997" spans="1:2" x14ac:dyDescent="0.2">
      <c r="A997" s="12"/>
      <c r="B997" s="9"/>
    </row>
    <row r="998" spans="1:2" x14ac:dyDescent="0.2">
      <c r="A998" s="12"/>
      <c r="B998" s="9"/>
    </row>
    <row r="999" spans="1:2" x14ac:dyDescent="0.2">
      <c r="A999" s="12"/>
      <c r="B999" s="9"/>
    </row>
    <row r="1000" spans="1:2" x14ac:dyDescent="0.2">
      <c r="A1000" s="12"/>
      <c r="B1000" s="9"/>
    </row>
    <row r="1001" spans="1:2" x14ac:dyDescent="0.2">
      <c r="A1001" s="12"/>
      <c r="B1001" s="9"/>
    </row>
    <row r="1002" spans="1:2" x14ac:dyDescent="0.2">
      <c r="A1002" s="12"/>
      <c r="B1002" s="9"/>
    </row>
    <row r="1003" spans="1:2" x14ac:dyDescent="0.2">
      <c r="A1003" s="12"/>
      <c r="B1003" s="9"/>
    </row>
    <row r="1004" spans="1:2" x14ac:dyDescent="0.2">
      <c r="A1004" s="12"/>
      <c r="B1004" s="9"/>
    </row>
    <row r="1005" spans="1:2" x14ac:dyDescent="0.2">
      <c r="A1005" s="12"/>
      <c r="B1005" s="9"/>
    </row>
    <row r="1006" spans="1:2" x14ac:dyDescent="0.2">
      <c r="A1006" s="12"/>
      <c r="B1006" s="9"/>
    </row>
    <row r="1007" spans="1:2" x14ac:dyDescent="0.2">
      <c r="A1007" s="12"/>
      <c r="B1007" s="9"/>
    </row>
    <row r="1008" spans="1:2" x14ac:dyDescent="0.2">
      <c r="A1008" s="12"/>
      <c r="B1008" s="9"/>
    </row>
    <row r="1009" spans="1:2" x14ac:dyDescent="0.2">
      <c r="A1009" s="12"/>
      <c r="B1009" s="9"/>
    </row>
    <row r="1010" spans="1:2" x14ac:dyDescent="0.2">
      <c r="A1010" s="12"/>
      <c r="B1010" s="9"/>
    </row>
    <row r="1011" spans="1:2" x14ac:dyDescent="0.2">
      <c r="A1011" s="12"/>
      <c r="B1011" s="9"/>
    </row>
    <row r="1012" spans="1:2" x14ac:dyDescent="0.2">
      <c r="A1012" s="12"/>
      <c r="B1012" s="9"/>
    </row>
    <row r="1013" spans="1:2" x14ac:dyDescent="0.2">
      <c r="A1013" s="12"/>
      <c r="B1013" s="9"/>
    </row>
    <row r="1014" spans="1:2" x14ac:dyDescent="0.2">
      <c r="A1014" s="12"/>
      <c r="B1014" s="9"/>
    </row>
    <row r="1015" spans="1:2" x14ac:dyDescent="0.2">
      <c r="A1015" s="12"/>
      <c r="B1015" s="9"/>
    </row>
    <row r="1016" spans="1:2" x14ac:dyDescent="0.2">
      <c r="A1016" s="12"/>
      <c r="B1016" s="9"/>
    </row>
    <row r="1017" spans="1:2" x14ac:dyDescent="0.2">
      <c r="A1017" s="12"/>
      <c r="B1017" s="9"/>
    </row>
    <row r="1018" spans="1:2" x14ac:dyDescent="0.2">
      <c r="A1018" s="12"/>
      <c r="B1018" s="9"/>
    </row>
    <row r="1019" spans="1:2" x14ac:dyDescent="0.2">
      <c r="A1019" s="12"/>
      <c r="B1019" s="9"/>
    </row>
    <row r="1020" spans="1:2" x14ac:dyDescent="0.2">
      <c r="A1020" s="12"/>
      <c r="B1020" s="9"/>
    </row>
    <row r="1021" spans="1:2" x14ac:dyDescent="0.2">
      <c r="A1021" s="12"/>
      <c r="B1021" s="9"/>
    </row>
    <row r="1022" spans="1:2" x14ac:dyDescent="0.2">
      <c r="A1022" s="12"/>
      <c r="B1022" s="9"/>
    </row>
    <row r="1023" spans="1:2" x14ac:dyDescent="0.2">
      <c r="A1023" s="12"/>
      <c r="B1023" s="9"/>
    </row>
    <row r="1024" spans="1:2" x14ac:dyDescent="0.2">
      <c r="A1024" s="12"/>
      <c r="B1024" s="9"/>
    </row>
    <row r="1025" spans="1:2" x14ac:dyDescent="0.2">
      <c r="A1025" s="12"/>
      <c r="B1025" s="9"/>
    </row>
    <row r="1026" spans="1:2" x14ac:dyDescent="0.2">
      <c r="A1026" s="12"/>
      <c r="B1026" s="9"/>
    </row>
    <row r="1027" spans="1:2" x14ac:dyDescent="0.2">
      <c r="A1027" s="12"/>
      <c r="B1027" s="9"/>
    </row>
    <row r="1028" spans="1:2" x14ac:dyDescent="0.2">
      <c r="A1028" s="12"/>
      <c r="B1028" s="9"/>
    </row>
    <row r="1029" spans="1:2" x14ac:dyDescent="0.2">
      <c r="A1029" s="12"/>
      <c r="B1029" s="9"/>
    </row>
    <row r="1030" spans="1:2" x14ac:dyDescent="0.2">
      <c r="A1030" s="12"/>
      <c r="B1030" s="9"/>
    </row>
    <row r="1031" spans="1:2" x14ac:dyDescent="0.2">
      <c r="A1031" s="12"/>
      <c r="B1031" s="9"/>
    </row>
    <row r="1032" spans="1:2" x14ac:dyDescent="0.2">
      <c r="A1032" s="12"/>
      <c r="B1032" s="9"/>
    </row>
    <row r="1033" spans="1:2" x14ac:dyDescent="0.2">
      <c r="A1033" s="12"/>
      <c r="B1033" s="9"/>
    </row>
    <row r="1034" spans="1:2" x14ac:dyDescent="0.2">
      <c r="A1034" s="12"/>
      <c r="B1034" s="9"/>
    </row>
    <row r="1035" spans="1:2" x14ac:dyDescent="0.2">
      <c r="A1035" s="12"/>
      <c r="B1035" s="9"/>
    </row>
    <row r="1036" spans="1:2" x14ac:dyDescent="0.2">
      <c r="A1036" s="12"/>
      <c r="B1036" s="9"/>
    </row>
    <row r="1037" spans="1:2" x14ac:dyDescent="0.2">
      <c r="A1037" s="12"/>
      <c r="B1037" s="9"/>
    </row>
    <row r="1038" spans="1:2" x14ac:dyDescent="0.2">
      <c r="A1038" s="12"/>
      <c r="B1038" s="9"/>
    </row>
    <row r="1039" spans="1:2" x14ac:dyDescent="0.2">
      <c r="A1039" s="12"/>
      <c r="B1039" s="9"/>
    </row>
    <row r="1040" spans="1:2" x14ac:dyDescent="0.2">
      <c r="A1040" s="12"/>
      <c r="B1040" s="9"/>
    </row>
    <row r="1041" spans="1:2" x14ac:dyDescent="0.2">
      <c r="A1041" s="12"/>
      <c r="B1041" s="9"/>
    </row>
    <row r="1042" spans="1:2" x14ac:dyDescent="0.2">
      <c r="A1042" s="12"/>
      <c r="B1042" s="9"/>
    </row>
    <row r="1043" spans="1:2" x14ac:dyDescent="0.2">
      <c r="A1043" s="12"/>
      <c r="B1043" s="9"/>
    </row>
    <row r="1044" spans="1:2" x14ac:dyDescent="0.2">
      <c r="A1044" s="12"/>
      <c r="B1044" s="9"/>
    </row>
    <row r="1045" spans="1:2" x14ac:dyDescent="0.2">
      <c r="A1045" s="12"/>
      <c r="B1045" s="9"/>
    </row>
    <row r="1046" spans="1:2" x14ac:dyDescent="0.2">
      <c r="A1046" s="12"/>
      <c r="B1046" s="9"/>
    </row>
    <row r="1047" spans="1:2" x14ac:dyDescent="0.2">
      <c r="A1047" s="12"/>
      <c r="B1047" s="9"/>
    </row>
    <row r="1048" spans="1:2" x14ac:dyDescent="0.2">
      <c r="A1048" s="12"/>
      <c r="B1048" s="9"/>
    </row>
    <row r="1049" spans="1:2" x14ac:dyDescent="0.2">
      <c r="A1049" s="12"/>
      <c r="B1049" s="9"/>
    </row>
    <row r="1050" spans="1:2" x14ac:dyDescent="0.2">
      <c r="A1050" s="12"/>
      <c r="B1050" s="9"/>
    </row>
    <row r="1051" spans="1:2" x14ac:dyDescent="0.2">
      <c r="A1051" s="12"/>
      <c r="B1051" s="9"/>
    </row>
    <row r="1052" spans="1:2" x14ac:dyDescent="0.2">
      <c r="A1052" s="12"/>
      <c r="B1052" s="9"/>
    </row>
    <row r="1053" spans="1:2" x14ac:dyDescent="0.2">
      <c r="A1053" s="12"/>
      <c r="B1053" s="9"/>
    </row>
    <row r="1054" spans="1:2" x14ac:dyDescent="0.2">
      <c r="A1054" s="12"/>
      <c r="B1054" s="9"/>
    </row>
    <row r="1055" spans="1:2" x14ac:dyDescent="0.2">
      <c r="A1055" s="12"/>
      <c r="B1055" s="9"/>
    </row>
    <row r="1056" spans="1:2" x14ac:dyDescent="0.2">
      <c r="A1056" s="12"/>
      <c r="B1056" s="9"/>
    </row>
    <row r="1057" spans="1:2" x14ac:dyDescent="0.2">
      <c r="A1057" s="12"/>
      <c r="B1057" s="9"/>
    </row>
    <row r="1058" spans="1:2" x14ac:dyDescent="0.2">
      <c r="A1058" s="12"/>
      <c r="B1058" s="9"/>
    </row>
    <row r="1059" spans="1:2" x14ac:dyDescent="0.2">
      <c r="A1059" s="12"/>
      <c r="B1059" s="9"/>
    </row>
    <row r="1060" spans="1:2" x14ac:dyDescent="0.2">
      <c r="A1060" s="12"/>
      <c r="B1060" s="9"/>
    </row>
    <row r="1061" spans="1:2" x14ac:dyDescent="0.2">
      <c r="A1061" s="12"/>
      <c r="B1061" s="9"/>
    </row>
    <row r="1062" spans="1:2" x14ac:dyDescent="0.2">
      <c r="A1062" s="12"/>
      <c r="B1062" s="9"/>
    </row>
    <row r="1063" spans="1:2" x14ac:dyDescent="0.2">
      <c r="A1063" s="12"/>
      <c r="B1063" s="9"/>
    </row>
    <row r="1064" spans="1:2" x14ac:dyDescent="0.2">
      <c r="A1064" s="12"/>
      <c r="B1064" s="9"/>
    </row>
    <row r="1065" spans="1:2" x14ac:dyDescent="0.2">
      <c r="A1065" s="12"/>
      <c r="B1065" s="9"/>
    </row>
    <row r="1066" spans="1:2" x14ac:dyDescent="0.2">
      <c r="A1066" s="12"/>
      <c r="B1066" s="9"/>
    </row>
    <row r="1067" spans="1:2" x14ac:dyDescent="0.2">
      <c r="A1067" s="12"/>
      <c r="B1067" s="9"/>
    </row>
    <row r="1068" spans="1:2" x14ac:dyDescent="0.2">
      <c r="A1068" s="12"/>
      <c r="B1068" s="9"/>
    </row>
    <row r="1069" spans="1:2" x14ac:dyDescent="0.2">
      <c r="A1069" s="12"/>
      <c r="B1069" s="9"/>
    </row>
    <row r="1070" spans="1:2" x14ac:dyDescent="0.2">
      <c r="A1070" s="12"/>
      <c r="B1070" s="9"/>
    </row>
    <row r="1071" spans="1:2" x14ac:dyDescent="0.2">
      <c r="A1071" s="12"/>
      <c r="B1071" s="9"/>
    </row>
    <row r="1072" spans="1:2" x14ac:dyDescent="0.2">
      <c r="A1072" s="12"/>
      <c r="B1072" s="9"/>
    </row>
    <row r="1073" spans="1:2" x14ac:dyDescent="0.2">
      <c r="A1073" s="12"/>
      <c r="B1073" s="9"/>
    </row>
    <row r="1074" spans="1:2" x14ac:dyDescent="0.2">
      <c r="A1074" s="12"/>
      <c r="B1074" s="9"/>
    </row>
    <row r="1075" spans="1:2" x14ac:dyDescent="0.2">
      <c r="A1075" s="12"/>
      <c r="B1075" s="9"/>
    </row>
    <row r="1076" spans="1:2" x14ac:dyDescent="0.2">
      <c r="A1076" s="12"/>
      <c r="B1076" s="9"/>
    </row>
    <row r="1077" spans="1:2" x14ac:dyDescent="0.2">
      <c r="A1077" s="12"/>
      <c r="B1077" s="9"/>
    </row>
    <row r="1078" spans="1:2" x14ac:dyDescent="0.2">
      <c r="A1078" s="12"/>
      <c r="B1078" s="9"/>
    </row>
    <row r="1079" spans="1:2" x14ac:dyDescent="0.2">
      <c r="A1079" s="12"/>
      <c r="B1079" s="9"/>
    </row>
    <row r="1080" spans="1:2" x14ac:dyDescent="0.2">
      <c r="A1080" s="12"/>
      <c r="B1080" s="9"/>
    </row>
    <row r="1081" spans="1:2" x14ac:dyDescent="0.2">
      <c r="A1081" s="12"/>
      <c r="B1081" s="9"/>
    </row>
    <row r="1082" spans="1:2" x14ac:dyDescent="0.2">
      <c r="A1082" s="12"/>
      <c r="B1082" s="9"/>
    </row>
    <row r="1083" spans="1:2" x14ac:dyDescent="0.2">
      <c r="A1083" s="12"/>
      <c r="B1083" s="9"/>
    </row>
    <row r="1084" spans="1:2" x14ac:dyDescent="0.2">
      <c r="A1084" s="12"/>
      <c r="B1084" s="9"/>
    </row>
    <row r="1085" spans="1:2" x14ac:dyDescent="0.2">
      <c r="A1085" s="12"/>
      <c r="B1085" s="9"/>
    </row>
    <row r="1086" spans="1:2" x14ac:dyDescent="0.2">
      <c r="A1086" s="12"/>
      <c r="B1086" s="9"/>
    </row>
    <row r="1087" spans="1:2" x14ac:dyDescent="0.2">
      <c r="A1087" s="12"/>
      <c r="B1087" s="9"/>
    </row>
    <row r="1088" spans="1:2" x14ac:dyDescent="0.2">
      <c r="A1088" s="12"/>
      <c r="B1088" s="9"/>
    </row>
    <row r="1089" spans="1:2" x14ac:dyDescent="0.2">
      <c r="A1089" s="12"/>
      <c r="B1089" s="9"/>
    </row>
    <row r="1090" spans="1:2" x14ac:dyDescent="0.2">
      <c r="A1090" s="12"/>
      <c r="B1090" s="9"/>
    </row>
    <row r="1091" spans="1:2" x14ac:dyDescent="0.2">
      <c r="A1091" s="12"/>
      <c r="B1091" s="9"/>
    </row>
    <row r="1092" spans="1:2" x14ac:dyDescent="0.2">
      <c r="A1092" s="12"/>
      <c r="B1092" s="9"/>
    </row>
    <row r="1093" spans="1:2" x14ac:dyDescent="0.2">
      <c r="A1093" s="12"/>
      <c r="B1093" s="9"/>
    </row>
    <row r="1094" spans="1:2" x14ac:dyDescent="0.2">
      <c r="A1094" s="12"/>
      <c r="B1094" s="9"/>
    </row>
    <row r="1095" spans="1:2" x14ac:dyDescent="0.2">
      <c r="A1095" s="12"/>
      <c r="B1095" s="9"/>
    </row>
    <row r="1096" spans="1:2" x14ac:dyDescent="0.2">
      <c r="A1096" s="12"/>
      <c r="B1096" s="9"/>
    </row>
    <row r="1097" spans="1:2" x14ac:dyDescent="0.2">
      <c r="A1097" s="12"/>
      <c r="B1097" s="9"/>
    </row>
    <row r="1098" spans="1:2" x14ac:dyDescent="0.2">
      <c r="A1098" s="12"/>
      <c r="B1098" s="9"/>
    </row>
    <row r="1099" spans="1:2" x14ac:dyDescent="0.2">
      <c r="A1099" s="12"/>
      <c r="B1099" s="9"/>
    </row>
    <row r="1100" spans="1:2" x14ac:dyDescent="0.2">
      <c r="A1100" s="12"/>
      <c r="B1100" s="9"/>
    </row>
    <row r="1101" spans="1:2" x14ac:dyDescent="0.2">
      <c r="A1101" s="12"/>
      <c r="B1101" s="9"/>
    </row>
    <row r="1102" spans="1:2" x14ac:dyDescent="0.2">
      <c r="A1102" s="12"/>
      <c r="B1102" s="9"/>
    </row>
    <row r="1103" spans="1:2" x14ac:dyDescent="0.2">
      <c r="A1103" s="12"/>
      <c r="B1103" s="9"/>
    </row>
    <row r="1104" spans="1:2" x14ac:dyDescent="0.2">
      <c r="A1104" s="12"/>
      <c r="B1104" s="9"/>
    </row>
    <row r="1105" spans="1:2" x14ac:dyDescent="0.2">
      <c r="A1105" s="12"/>
      <c r="B1105" s="9"/>
    </row>
    <row r="1106" spans="1:2" x14ac:dyDescent="0.2">
      <c r="A1106" s="12"/>
      <c r="B1106" s="9"/>
    </row>
    <row r="1107" spans="1:2" x14ac:dyDescent="0.2">
      <c r="A1107" s="12"/>
      <c r="B1107" s="9"/>
    </row>
    <row r="1108" spans="1:2" x14ac:dyDescent="0.2">
      <c r="A1108" s="12"/>
      <c r="B1108" s="9"/>
    </row>
    <row r="1109" spans="1:2" x14ac:dyDescent="0.2">
      <c r="A1109" s="12"/>
      <c r="B1109" s="9"/>
    </row>
    <row r="1110" spans="1:2" x14ac:dyDescent="0.2">
      <c r="A1110" s="12"/>
      <c r="B1110" s="9"/>
    </row>
    <row r="1111" spans="1:2" x14ac:dyDescent="0.2">
      <c r="A1111" s="12"/>
      <c r="B1111" s="9"/>
    </row>
    <row r="1112" spans="1:2" x14ac:dyDescent="0.2">
      <c r="A1112" s="12"/>
      <c r="B1112" s="9"/>
    </row>
    <row r="1113" spans="1:2" x14ac:dyDescent="0.2">
      <c r="A1113" s="12"/>
      <c r="B1113" s="9"/>
    </row>
    <row r="1114" spans="1:2" x14ac:dyDescent="0.2">
      <c r="A1114" s="12"/>
      <c r="B1114" s="9"/>
    </row>
    <row r="1115" spans="1:2" x14ac:dyDescent="0.2">
      <c r="A1115" s="12"/>
      <c r="B1115" s="9"/>
    </row>
    <row r="1116" spans="1:2" x14ac:dyDescent="0.2">
      <c r="A1116" s="12"/>
      <c r="B1116" s="9"/>
    </row>
    <row r="1117" spans="1:2" x14ac:dyDescent="0.2">
      <c r="A1117" s="12"/>
      <c r="B1117" s="9"/>
    </row>
    <row r="1118" spans="1:2" x14ac:dyDescent="0.2">
      <c r="A1118" s="12"/>
      <c r="B1118" s="9"/>
    </row>
    <row r="1119" spans="1:2" x14ac:dyDescent="0.2">
      <c r="A1119" s="12"/>
      <c r="B1119" s="9"/>
    </row>
    <row r="1120" spans="1:2" x14ac:dyDescent="0.2">
      <c r="A1120" s="12"/>
      <c r="B1120" s="9"/>
    </row>
    <row r="1121" spans="1:2" x14ac:dyDescent="0.2">
      <c r="A1121" s="12"/>
      <c r="B1121" s="9"/>
    </row>
    <row r="1122" spans="1:2" x14ac:dyDescent="0.2">
      <c r="A1122" s="12"/>
      <c r="B1122" s="9"/>
    </row>
    <row r="1123" spans="1:2" x14ac:dyDescent="0.2">
      <c r="A1123" s="12"/>
      <c r="B1123" s="9"/>
    </row>
    <row r="1124" spans="1:2" x14ac:dyDescent="0.2">
      <c r="A1124" s="12"/>
      <c r="B1124" s="9"/>
    </row>
    <row r="1125" spans="1:2" x14ac:dyDescent="0.2">
      <c r="A1125" s="12"/>
      <c r="B1125" s="9"/>
    </row>
    <row r="1126" spans="1:2" x14ac:dyDescent="0.2">
      <c r="A1126" s="12"/>
      <c r="B1126" s="9"/>
    </row>
    <row r="1127" spans="1:2" x14ac:dyDescent="0.2">
      <c r="A1127" s="12"/>
      <c r="B1127" s="9"/>
    </row>
    <row r="1128" spans="1:2" x14ac:dyDescent="0.2">
      <c r="A1128" s="12"/>
      <c r="B1128" s="9"/>
    </row>
    <row r="1129" spans="1:2" x14ac:dyDescent="0.2">
      <c r="A1129" s="12"/>
      <c r="B1129" s="9"/>
    </row>
    <row r="1130" spans="1:2" x14ac:dyDescent="0.2">
      <c r="A1130" s="12"/>
      <c r="B1130" s="9"/>
    </row>
    <row r="1131" spans="1:2" x14ac:dyDescent="0.2">
      <c r="A1131" s="12"/>
      <c r="B1131" s="9"/>
    </row>
    <row r="1132" spans="1:2" x14ac:dyDescent="0.2">
      <c r="A1132" s="12"/>
      <c r="B1132" s="9"/>
    </row>
    <row r="1133" spans="1:2" x14ac:dyDescent="0.2">
      <c r="A1133" s="12"/>
      <c r="B1133" s="9"/>
    </row>
    <row r="1134" spans="1:2" x14ac:dyDescent="0.2">
      <c r="A1134" s="12"/>
      <c r="B1134" s="9"/>
    </row>
    <row r="1135" spans="1:2" x14ac:dyDescent="0.2">
      <c r="A1135" s="12"/>
      <c r="B1135" s="9"/>
    </row>
    <row r="1136" spans="1:2" x14ac:dyDescent="0.2">
      <c r="A1136" s="12"/>
      <c r="B1136" s="9"/>
    </row>
    <row r="1137" spans="1:2" x14ac:dyDescent="0.2">
      <c r="A1137" s="12"/>
      <c r="B1137" s="9"/>
    </row>
    <row r="1138" spans="1:2" x14ac:dyDescent="0.2">
      <c r="A1138" s="12"/>
      <c r="B1138" s="9"/>
    </row>
    <row r="1139" spans="1:2" x14ac:dyDescent="0.2">
      <c r="A1139" s="12"/>
      <c r="B1139" s="9"/>
    </row>
    <row r="1140" spans="1:2" x14ac:dyDescent="0.2">
      <c r="A1140" s="12"/>
      <c r="B1140" s="9"/>
    </row>
    <row r="1141" spans="1:2" x14ac:dyDescent="0.2">
      <c r="A1141" s="12"/>
      <c r="B1141" s="9"/>
    </row>
    <row r="1142" spans="1:2" x14ac:dyDescent="0.2">
      <c r="A1142" s="12"/>
      <c r="B1142" s="9"/>
    </row>
    <row r="1143" spans="1:2" x14ac:dyDescent="0.2">
      <c r="A1143" s="12"/>
      <c r="B1143" s="9"/>
    </row>
    <row r="1144" spans="1:2" x14ac:dyDescent="0.2">
      <c r="A1144" s="12"/>
      <c r="B1144" s="9"/>
    </row>
    <row r="1145" spans="1:2" x14ac:dyDescent="0.2">
      <c r="A1145" s="12"/>
      <c r="B1145" s="9"/>
    </row>
    <row r="1146" spans="1:2" x14ac:dyDescent="0.2">
      <c r="A1146" s="12"/>
      <c r="B1146" s="9"/>
    </row>
    <row r="1147" spans="1:2" x14ac:dyDescent="0.2">
      <c r="A1147" s="12"/>
      <c r="B1147" s="9"/>
    </row>
    <row r="1148" spans="1:2" x14ac:dyDescent="0.2">
      <c r="A1148" s="12"/>
      <c r="B1148" s="9"/>
    </row>
    <row r="1149" spans="1:2" x14ac:dyDescent="0.2">
      <c r="A1149" s="12"/>
      <c r="B1149" s="9"/>
    </row>
    <row r="1150" spans="1:2" x14ac:dyDescent="0.2">
      <c r="A1150" s="12"/>
      <c r="B1150" s="9"/>
    </row>
    <row r="1151" spans="1:2" x14ac:dyDescent="0.2">
      <c r="A1151" s="12"/>
      <c r="B1151" s="9"/>
    </row>
    <row r="1152" spans="1:2" x14ac:dyDescent="0.2">
      <c r="A1152" s="12"/>
      <c r="B1152" s="9"/>
    </row>
    <row r="1153" spans="1:2" x14ac:dyDescent="0.2">
      <c r="A1153" s="12"/>
      <c r="B1153" s="9"/>
    </row>
    <row r="1154" spans="1:2" x14ac:dyDescent="0.2">
      <c r="A1154" s="12"/>
      <c r="B1154" s="9"/>
    </row>
    <row r="1155" spans="1:2" x14ac:dyDescent="0.2">
      <c r="A1155" s="12"/>
      <c r="B1155" s="9"/>
    </row>
    <row r="1156" spans="1:2" x14ac:dyDescent="0.2">
      <c r="A1156" s="12"/>
      <c r="B1156" s="9"/>
    </row>
    <row r="1157" spans="1:2" x14ac:dyDescent="0.2">
      <c r="A1157" s="12"/>
      <c r="B1157" s="9"/>
    </row>
    <row r="1158" spans="1:2" x14ac:dyDescent="0.2">
      <c r="A1158" s="12"/>
      <c r="B1158" s="9"/>
    </row>
    <row r="1159" spans="1:2" x14ac:dyDescent="0.2">
      <c r="A1159" s="12"/>
      <c r="B1159" s="9"/>
    </row>
    <row r="1160" spans="1:2" x14ac:dyDescent="0.2">
      <c r="A1160" s="12"/>
      <c r="B1160" s="9"/>
    </row>
    <row r="1161" spans="1:2" x14ac:dyDescent="0.2">
      <c r="A1161" s="12"/>
      <c r="B1161" s="9"/>
    </row>
    <row r="1162" spans="1:2" x14ac:dyDescent="0.2">
      <c r="A1162" s="12"/>
      <c r="B1162" s="9"/>
    </row>
    <row r="1163" spans="1:2" x14ac:dyDescent="0.2">
      <c r="A1163" s="12"/>
      <c r="B1163" s="9"/>
    </row>
    <row r="1164" spans="1:2" x14ac:dyDescent="0.2">
      <c r="A1164" s="12"/>
      <c r="B1164" s="9"/>
    </row>
    <row r="1165" spans="1:2" x14ac:dyDescent="0.2">
      <c r="A1165" s="12"/>
      <c r="B1165" s="9"/>
    </row>
    <row r="1166" spans="1:2" x14ac:dyDescent="0.2">
      <c r="A1166" s="12"/>
      <c r="B1166" s="9"/>
    </row>
    <row r="1167" spans="1:2" x14ac:dyDescent="0.2">
      <c r="A1167" s="12"/>
      <c r="B1167" s="9"/>
    </row>
    <row r="1168" spans="1:2" x14ac:dyDescent="0.2">
      <c r="A1168" s="12"/>
      <c r="B1168" s="9"/>
    </row>
    <row r="1169" spans="1:2" x14ac:dyDescent="0.2">
      <c r="A1169" s="12"/>
      <c r="B1169" s="9"/>
    </row>
    <row r="1170" spans="1:2" x14ac:dyDescent="0.2">
      <c r="A1170" s="12"/>
      <c r="B1170" s="9"/>
    </row>
    <row r="1171" spans="1:2" x14ac:dyDescent="0.2">
      <c r="A1171" s="12"/>
      <c r="B1171" s="9"/>
    </row>
    <row r="1172" spans="1:2" x14ac:dyDescent="0.2">
      <c r="A1172" s="12"/>
      <c r="B1172" s="9"/>
    </row>
    <row r="1173" spans="1:2" x14ac:dyDescent="0.2">
      <c r="A1173" s="12"/>
      <c r="B1173" s="9"/>
    </row>
    <row r="1174" spans="1:2" x14ac:dyDescent="0.2">
      <c r="A1174" s="12"/>
      <c r="B1174" s="9"/>
    </row>
    <row r="1175" spans="1:2" x14ac:dyDescent="0.2">
      <c r="A1175" s="12"/>
      <c r="B1175" s="9"/>
    </row>
    <row r="1176" spans="1:2" x14ac:dyDescent="0.2">
      <c r="A1176" s="12"/>
      <c r="B1176" s="9"/>
    </row>
    <row r="1177" spans="1:2" x14ac:dyDescent="0.2">
      <c r="A1177" s="12"/>
      <c r="B1177" s="9"/>
    </row>
    <row r="1178" spans="1:2" x14ac:dyDescent="0.2">
      <c r="A1178" s="12"/>
      <c r="B1178" s="9"/>
    </row>
    <row r="1179" spans="1:2" x14ac:dyDescent="0.2">
      <c r="A1179" s="12"/>
      <c r="B1179" s="9"/>
    </row>
    <row r="1180" spans="1:2" x14ac:dyDescent="0.2">
      <c r="A1180" s="12"/>
      <c r="B1180" s="9"/>
    </row>
    <row r="1181" spans="1:2" x14ac:dyDescent="0.2">
      <c r="A1181" s="12"/>
      <c r="B1181" s="9"/>
    </row>
    <row r="1182" spans="1:2" x14ac:dyDescent="0.2">
      <c r="A1182" s="12"/>
      <c r="B1182" s="9"/>
    </row>
    <row r="1183" spans="1:2" x14ac:dyDescent="0.2">
      <c r="A1183" s="12"/>
      <c r="B1183" s="9"/>
    </row>
    <row r="1184" spans="1:2" x14ac:dyDescent="0.2">
      <c r="A1184" s="12"/>
      <c r="B1184" s="9"/>
    </row>
    <row r="1185" spans="1:2" x14ac:dyDescent="0.2">
      <c r="A1185" s="12"/>
      <c r="B1185" s="9"/>
    </row>
    <row r="1186" spans="1:2" x14ac:dyDescent="0.2">
      <c r="A1186" s="12"/>
      <c r="B1186" s="9"/>
    </row>
    <row r="1187" spans="1:2" x14ac:dyDescent="0.2">
      <c r="A1187" s="12"/>
      <c r="B1187" s="9"/>
    </row>
    <row r="1188" spans="1:2" x14ac:dyDescent="0.2">
      <c r="A1188" s="12"/>
      <c r="B1188" s="9"/>
    </row>
    <row r="1189" spans="1:2" x14ac:dyDescent="0.2">
      <c r="A1189" s="12"/>
      <c r="B1189" s="9"/>
    </row>
    <row r="1190" spans="1:2" x14ac:dyDescent="0.2">
      <c r="A1190" s="12"/>
      <c r="B1190" s="9"/>
    </row>
    <row r="1191" spans="1:2" x14ac:dyDescent="0.2">
      <c r="A1191" s="12"/>
      <c r="B1191" s="9"/>
    </row>
    <row r="1192" spans="1:2" x14ac:dyDescent="0.2">
      <c r="A1192" s="12"/>
      <c r="B1192" s="9"/>
    </row>
    <row r="1193" spans="1:2" x14ac:dyDescent="0.2">
      <c r="A1193" s="12"/>
      <c r="B1193" s="9"/>
    </row>
    <row r="1194" spans="1:2" x14ac:dyDescent="0.2">
      <c r="A1194" s="12"/>
      <c r="B1194" s="9"/>
    </row>
    <row r="1195" spans="1:2" x14ac:dyDescent="0.2">
      <c r="A1195" s="12"/>
      <c r="B1195" s="9"/>
    </row>
    <row r="1196" spans="1:2" x14ac:dyDescent="0.2">
      <c r="A1196" s="12"/>
      <c r="B1196" s="9"/>
    </row>
    <row r="1197" spans="1:2" x14ac:dyDescent="0.2">
      <c r="A1197" s="12"/>
      <c r="B1197" s="9"/>
    </row>
    <row r="1198" spans="1:2" x14ac:dyDescent="0.2">
      <c r="A1198" s="12"/>
      <c r="B1198" s="9"/>
    </row>
    <row r="1199" spans="1:2" x14ac:dyDescent="0.2">
      <c r="A1199" s="12"/>
      <c r="B1199" s="9"/>
    </row>
    <row r="1200" spans="1:2" x14ac:dyDescent="0.2">
      <c r="A1200" s="12"/>
      <c r="B1200" s="9"/>
    </row>
    <row r="1201" spans="1:2" x14ac:dyDescent="0.2">
      <c r="A1201" s="12"/>
      <c r="B1201" s="9"/>
    </row>
    <row r="1202" spans="1:2" x14ac:dyDescent="0.2">
      <c r="A1202" s="12"/>
      <c r="B1202" s="9"/>
    </row>
    <row r="1203" spans="1:2" x14ac:dyDescent="0.2">
      <c r="A1203" s="12"/>
      <c r="B1203" s="9"/>
    </row>
    <row r="1204" spans="1:2" x14ac:dyDescent="0.2">
      <c r="A1204" s="12"/>
      <c r="B1204" s="9"/>
    </row>
    <row r="1205" spans="1:2" x14ac:dyDescent="0.2">
      <c r="A1205" s="12"/>
      <c r="B1205" s="9"/>
    </row>
    <row r="1206" spans="1:2" x14ac:dyDescent="0.2">
      <c r="A1206" s="12"/>
      <c r="B1206" s="9"/>
    </row>
    <row r="1207" spans="1:2" x14ac:dyDescent="0.2">
      <c r="A1207" s="12"/>
      <c r="B1207" s="9"/>
    </row>
    <row r="1208" spans="1:2" x14ac:dyDescent="0.2">
      <c r="A1208" s="12"/>
      <c r="B1208" s="9"/>
    </row>
    <row r="1209" spans="1:2" x14ac:dyDescent="0.2">
      <c r="A1209" s="12"/>
      <c r="B1209" s="9"/>
    </row>
    <row r="1210" spans="1:2" x14ac:dyDescent="0.2">
      <c r="A1210" s="12"/>
      <c r="B1210" s="9"/>
    </row>
    <row r="1211" spans="1:2" x14ac:dyDescent="0.2">
      <c r="A1211" s="12"/>
      <c r="B1211" s="9"/>
    </row>
    <row r="1212" spans="1:2" x14ac:dyDescent="0.2">
      <c r="A1212" s="12"/>
      <c r="B1212" s="9"/>
    </row>
    <row r="1213" spans="1:2" x14ac:dyDescent="0.2">
      <c r="A1213" s="12"/>
      <c r="B1213" s="9"/>
    </row>
    <row r="1214" spans="1:2" x14ac:dyDescent="0.2">
      <c r="A1214" s="12"/>
      <c r="B1214" s="9"/>
    </row>
    <row r="1215" spans="1:2" x14ac:dyDescent="0.2">
      <c r="A1215" s="12"/>
      <c r="B1215" s="9"/>
    </row>
    <row r="1216" spans="1:2" x14ac:dyDescent="0.2">
      <c r="A1216" s="12"/>
      <c r="B1216" s="9"/>
    </row>
    <row r="1217" spans="1:2" x14ac:dyDescent="0.2">
      <c r="A1217" s="12"/>
      <c r="B1217" s="9"/>
    </row>
    <row r="1218" spans="1:2" x14ac:dyDescent="0.2">
      <c r="A1218" s="12"/>
      <c r="B1218" s="9"/>
    </row>
    <row r="1219" spans="1:2" x14ac:dyDescent="0.2">
      <c r="A1219" s="12"/>
      <c r="B1219" s="9"/>
    </row>
    <row r="1220" spans="1:2" x14ac:dyDescent="0.2">
      <c r="A1220" s="12"/>
      <c r="B1220" s="9"/>
    </row>
    <row r="1221" spans="1:2" x14ac:dyDescent="0.2">
      <c r="A1221" s="12"/>
      <c r="B1221" s="9"/>
    </row>
    <row r="1222" spans="1:2" x14ac:dyDescent="0.2">
      <c r="A1222" s="12"/>
      <c r="B1222" s="9"/>
    </row>
    <row r="1223" spans="1:2" x14ac:dyDescent="0.2">
      <c r="A1223" s="12"/>
      <c r="B1223" s="9"/>
    </row>
    <row r="1224" spans="1:2" x14ac:dyDescent="0.2">
      <c r="A1224" s="12"/>
      <c r="B1224" s="9"/>
    </row>
    <row r="1225" spans="1:2" x14ac:dyDescent="0.2">
      <c r="A1225" s="12"/>
      <c r="B1225" s="9"/>
    </row>
    <row r="1226" spans="1:2" x14ac:dyDescent="0.2">
      <c r="A1226" s="12"/>
      <c r="B1226" s="9"/>
    </row>
    <row r="1227" spans="1:2" x14ac:dyDescent="0.2">
      <c r="A1227" s="12"/>
      <c r="B1227" s="9"/>
    </row>
    <row r="1228" spans="1:2" x14ac:dyDescent="0.2">
      <c r="A1228" s="12"/>
      <c r="B1228" s="9"/>
    </row>
    <row r="1229" spans="1:2" x14ac:dyDescent="0.2">
      <c r="A1229" s="12"/>
      <c r="B1229" s="9"/>
    </row>
    <row r="1230" spans="1:2" x14ac:dyDescent="0.2">
      <c r="A1230" s="12"/>
      <c r="B1230" s="9"/>
    </row>
    <row r="1231" spans="1:2" x14ac:dyDescent="0.2">
      <c r="A1231" s="12"/>
      <c r="B1231" s="9"/>
    </row>
    <row r="1232" spans="1:2" x14ac:dyDescent="0.2">
      <c r="A1232" s="12"/>
      <c r="B1232" s="9"/>
    </row>
    <row r="1233" spans="1:2" x14ac:dyDescent="0.2">
      <c r="A1233" s="12"/>
      <c r="B1233" s="9"/>
    </row>
    <row r="1234" spans="1:2" x14ac:dyDescent="0.2">
      <c r="A1234" s="12"/>
      <c r="B1234" s="9"/>
    </row>
    <row r="1235" spans="1:2" x14ac:dyDescent="0.2">
      <c r="A1235" s="12"/>
      <c r="B1235" s="9"/>
    </row>
    <row r="1236" spans="1:2" x14ac:dyDescent="0.2">
      <c r="A1236" s="12"/>
      <c r="B1236" s="9"/>
    </row>
    <row r="1237" spans="1:2" x14ac:dyDescent="0.2">
      <c r="A1237" s="12"/>
      <c r="B1237" s="9"/>
    </row>
    <row r="1238" spans="1:2" x14ac:dyDescent="0.2">
      <c r="A1238" s="12"/>
      <c r="B1238" s="9"/>
    </row>
    <row r="1239" spans="1:2" x14ac:dyDescent="0.2">
      <c r="A1239" s="12"/>
      <c r="B1239" s="9"/>
    </row>
    <row r="1240" spans="1:2" x14ac:dyDescent="0.2">
      <c r="A1240" s="12"/>
      <c r="B1240" s="9"/>
    </row>
    <row r="1241" spans="1:2" x14ac:dyDescent="0.2">
      <c r="A1241" s="12"/>
      <c r="B1241" s="9"/>
    </row>
    <row r="1242" spans="1:2" x14ac:dyDescent="0.2">
      <c r="A1242" s="12"/>
      <c r="B1242" s="9"/>
    </row>
    <row r="1243" spans="1:2" x14ac:dyDescent="0.2">
      <c r="A1243" s="12"/>
      <c r="B1243" s="9"/>
    </row>
    <row r="1244" spans="1:2" x14ac:dyDescent="0.2">
      <c r="A1244" s="12"/>
      <c r="B1244" s="9"/>
    </row>
    <row r="1245" spans="1:2" x14ac:dyDescent="0.2">
      <c r="A1245" s="12"/>
      <c r="B1245" s="9"/>
    </row>
    <row r="1246" spans="1:2" x14ac:dyDescent="0.2">
      <c r="A1246" s="12"/>
      <c r="B1246" s="9"/>
    </row>
    <row r="1247" spans="1:2" x14ac:dyDescent="0.2">
      <c r="A1247" s="12"/>
      <c r="B1247" s="9"/>
    </row>
    <row r="1248" spans="1:2" x14ac:dyDescent="0.2">
      <c r="A1248" s="12"/>
      <c r="B1248" s="9"/>
    </row>
    <row r="1249" spans="1:2" x14ac:dyDescent="0.2">
      <c r="A1249" s="12"/>
      <c r="B1249" s="9"/>
    </row>
    <row r="1250" spans="1:2" x14ac:dyDescent="0.2">
      <c r="A1250" s="12"/>
      <c r="B1250" s="9"/>
    </row>
    <row r="1251" spans="1:2" x14ac:dyDescent="0.2">
      <c r="A1251" s="12"/>
      <c r="B1251" s="9"/>
    </row>
    <row r="1252" spans="1:2" x14ac:dyDescent="0.2">
      <c r="A1252" s="12"/>
      <c r="B1252" s="9"/>
    </row>
    <row r="1253" spans="1:2" x14ac:dyDescent="0.2">
      <c r="A1253" s="12"/>
      <c r="B1253" s="9"/>
    </row>
    <row r="1254" spans="1:2" x14ac:dyDescent="0.2">
      <c r="A1254" s="12"/>
      <c r="B1254" s="9"/>
    </row>
    <row r="1255" spans="1:2" x14ac:dyDescent="0.2">
      <c r="A1255" s="12"/>
      <c r="B1255" s="9"/>
    </row>
    <row r="1256" spans="1:2" x14ac:dyDescent="0.2">
      <c r="A1256" s="12"/>
      <c r="B1256" s="9"/>
    </row>
    <row r="1257" spans="1:2" x14ac:dyDescent="0.2">
      <c r="A1257" s="12"/>
      <c r="B1257" s="9"/>
    </row>
    <row r="1258" spans="1:2" x14ac:dyDescent="0.2">
      <c r="A1258" s="12"/>
      <c r="B1258" s="9"/>
    </row>
    <row r="1259" spans="1:2" x14ac:dyDescent="0.2">
      <c r="A1259" s="12"/>
      <c r="B1259" s="9"/>
    </row>
    <row r="1260" spans="1:2" x14ac:dyDescent="0.2">
      <c r="A1260" s="12"/>
      <c r="B1260" s="9"/>
    </row>
    <row r="1261" spans="1:2" x14ac:dyDescent="0.2">
      <c r="A1261" s="12"/>
      <c r="B1261" s="9"/>
    </row>
    <row r="1262" spans="1:2" x14ac:dyDescent="0.2">
      <c r="A1262" s="12"/>
      <c r="B1262" s="9"/>
    </row>
    <row r="1263" spans="1:2" x14ac:dyDescent="0.2">
      <c r="A1263" s="12"/>
      <c r="B1263" s="9"/>
    </row>
    <row r="1264" spans="1:2" x14ac:dyDescent="0.2">
      <c r="A1264" s="12"/>
      <c r="B1264" s="9"/>
    </row>
    <row r="1265" spans="1:2" x14ac:dyDescent="0.2">
      <c r="A1265" s="12"/>
      <c r="B1265" s="9"/>
    </row>
    <row r="1266" spans="1:2" x14ac:dyDescent="0.2">
      <c r="A1266" s="12"/>
      <c r="B1266" s="9"/>
    </row>
    <row r="1267" spans="1:2" x14ac:dyDescent="0.2">
      <c r="A1267" s="12"/>
      <c r="B1267" s="9"/>
    </row>
    <row r="1268" spans="1:2" x14ac:dyDescent="0.2">
      <c r="A1268" s="12"/>
      <c r="B1268" s="9"/>
    </row>
    <row r="1269" spans="1:2" x14ac:dyDescent="0.2">
      <c r="A1269" s="12"/>
      <c r="B1269" s="9"/>
    </row>
    <row r="1270" spans="1:2" x14ac:dyDescent="0.2">
      <c r="A1270" s="12"/>
      <c r="B1270" s="9"/>
    </row>
    <row r="1271" spans="1:2" x14ac:dyDescent="0.2">
      <c r="A1271" s="12"/>
      <c r="B1271" s="9"/>
    </row>
    <row r="1272" spans="1:2" x14ac:dyDescent="0.2">
      <c r="A1272" s="12"/>
      <c r="B1272" s="9"/>
    </row>
    <row r="1273" spans="1:2" x14ac:dyDescent="0.2">
      <c r="A1273" s="12"/>
      <c r="B1273" s="9"/>
    </row>
    <row r="1274" spans="1:2" x14ac:dyDescent="0.2">
      <c r="A1274" s="12"/>
      <c r="B1274" s="9"/>
    </row>
    <row r="1275" spans="1:2" x14ac:dyDescent="0.2">
      <c r="A1275" s="12"/>
      <c r="B1275" s="9"/>
    </row>
    <row r="1276" spans="1:2" x14ac:dyDescent="0.2">
      <c r="A1276" s="12"/>
      <c r="B1276" s="9"/>
    </row>
    <row r="1277" spans="1:2" x14ac:dyDescent="0.2">
      <c r="A1277" s="12"/>
      <c r="B1277" s="9"/>
    </row>
    <row r="1278" spans="1:2" x14ac:dyDescent="0.2">
      <c r="A1278" s="12"/>
      <c r="B1278" s="9"/>
    </row>
    <row r="1279" spans="1:2" x14ac:dyDescent="0.2">
      <c r="A1279" s="12"/>
      <c r="B1279" s="9"/>
    </row>
    <row r="1280" spans="1:2" x14ac:dyDescent="0.2">
      <c r="A1280" s="12"/>
      <c r="B1280" s="9"/>
    </row>
    <row r="1281" spans="1:2" x14ac:dyDescent="0.2">
      <c r="A1281" s="12"/>
      <c r="B1281" s="9"/>
    </row>
    <row r="1282" spans="1:2" x14ac:dyDescent="0.2">
      <c r="A1282" s="12"/>
      <c r="B1282" s="9"/>
    </row>
    <row r="1283" spans="1:2" x14ac:dyDescent="0.2">
      <c r="A1283" s="12"/>
      <c r="B1283" s="9"/>
    </row>
    <row r="1284" spans="1:2" x14ac:dyDescent="0.2">
      <c r="A1284" s="12"/>
      <c r="B1284" s="9"/>
    </row>
    <row r="1285" spans="1:2" x14ac:dyDescent="0.2">
      <c r="A1285" s="12"/>
      <c r="B1285" s="9"/>
    </row>
    <row r="1286" spans="1:2" x14ac:dyDescent="0.2">
      <c r="A1286" s="12"/>
      <c r="B1286" s="9"/>
    </row>
    <row r="1287" spans="1:2" x14ac:dyDescent="0.2">
      <c r="A1287" s="12"/>
      <c r="B1287" s="9"/>
    </row>
    <row r="1288" spans="1:2" x14ac:dyDescent="0.2">
      <c r="A1288" s="12"/>
      <c r="B1288" s="9"/>
    </row>
    <row r="1289" spans="1:2" x14ac:dyDescent="0.2">
      <c r="A1289" s="12"/>
      <c r="B1289" s="9"/>
    </row>
    <row r="1290" spans="1:2" x14ac:dyDescent="0.2">
      <c r="A1290" s="12"/>
      <c r="B1290" s="9"/>
    </row>
    <row r="1291" spans="1:2" x14ac:dyDescent="0.2">
      <c r="A1291" s="12"/>
      <c r="B1291" s="9"/>
    </row>
    <row r="1292" spans="1:2" x14ac:dyDescent="0.2">
      <c r="A1292" s="12"/>
      <c r="B1292" s="9"/>
    </row>
    <row r="1293" spans="1:2" x14ac:dyDescent="0.2">
      <c r="A1293" s="12"/>
      <c r="B1293" s="9"/>
    </row>
    <row r="1294" spans="1:2" x14ac:dyDescent="0.2">
      <c r="A1294" s="12"/>
      <c r="B1294" s="9"/>
    </row>
    <row r="1295" spans="1:2" x14ac:dyDescent="0.2">
      <c r="A1295" s="12"/>
      <c r="B1295" s="9"/>
    </row>
    <row r="1296" spans="1:2" x14ac:dyDescent="0.2">
      <c r="A1296" s="12"/>
      <c r="B1296" s="9"/>
    </row>
    <row r="1297" spans="1:2" x14ac:dyDescent="0.2">
      <c r="A1297" s="12"/>
      <c r="B1297" s="9"/>
    </row>
    <row r="1298" spans="1:2" x14ac:dyDescent="0.2">
      <c r="A1298" s="12"/>
      <c r="B1298" s="9"/>
    </row>
    <row r="1299" spans="1:2" x14ac:dyDescent="0.2">
      <c r="A1299" s="12"/>
      <c r="B1299" s="9"/>
    </row>
    <row r="1300" spans="1:2" x14ac:dyDescent="0.2">
      <c r="A1300" s="12"/>
      <c r="B1300" s="13"/>
    </row>
    <row r="1301" spans="1:2" x14ac:dyDescent="0.2">
      <c r="A1301" s="12"/>
      <c r="B1301" s="9"/>
    </row>
    <row r="1302" spans="1:2" x14ac:dyDescent="0.2">
      <c r="A1302" s="12"/>
      <c r="B1302" s="9"/>
    </row>
    <row r="1303" spans="1:2" x14ac:dyDescent="0.2">
      <c r="A1303" s="12"/>
      <c r="B1303" s="9"/>
    </row>
    <row r="1304" spans="1:2" x14ac:dyDescent="0.2">
      <c r="A1304" s="12"/>
      <c r="B1304" s="9"/>
    </row>
    <row r="1305" spans="1:2" x14ac:dyDescent="0.2">
      <c r="A1305" s="12"/>
      <c r="B1305" s="9"/>
    </row>
    <row r="1306" spans="1:2" x14ac:dyDescent="0.2">
      <c r="A1306" s="12"/>
      <c r="B1306" s="9"/>
    </row>
    <row r="1307" spans="1:2" x14ac:dyDescent="0.2">
      <c r="A1307" s="12"/>
      <c r="B1307" s="9"/>
    </row>
    <row r="1308" spans="1:2" x14ac:dyDescent="0.2">
      <c r="A1308" s="12"/>
      <c r="B1308" s="9"/>
    </row>
    <row r="1309" spans="1:2" x14ac:dyDescent="0.2">
      <c r="A1309" s="12"/>
      <c r="B1309" s="9"/>
    </row>
    <row r="1310" spans="1:2" x14ac:dyDescent="0.2">
      <c r="A1310" s="12"/>
      <c r="B1310" s="9"/>
    </row>
    <row r="1311" spans="1:2" x14ac:dyDescent="0.2">
      <c r="A1311" s="12"/>
      <c r="B1311" s="9"/>
    </row>
    <row r="1312" spans="1:2" x14ac:dyDescent="0.2">
      <c r="A1312" s="12"/>
      <c r="B1312" s="9"/>
    </row>
    <row r="1313" spans="1:2" x14ac:dyDescent="0.2">
      <c r="A1313" s="12"/>
      <c r="B1313" s="9"/>
    </row>
    <row r="1314" spans="1:2" x14ac:dyDescent="0.2">
      <c r="A1314" s="12"/>
      <c r="B1314" s="9"/>
    </row>
    <row r="1315" spans="1:2" x14ac:dyDescent="0.2">
      <c r="A1315" s="12"/>
      <c r="B1315" s="9"/>
    </row>
    <row r="1316" spans="1:2" x14ac:dyDescent="0.2">
      <c r="A1316" s="12"/>
      <c r="B1316" s="9"/>
    </row>
    <row r="1317" spans="1:2" x14ac:dyDescent="0.2">
      <c r="A1317" s="12"/>
      <c r="B1317" s="9"/>
    </row>
    <row r="1318" spans="1:2" x14ac:dyDescent="0.2">
      <c r="A1318" s="12"/>
      <c r="B1318" s="9"/>
    </row>
    <row r="1319" spans="1:2" x14ac:dyDescent="0.2">
      <c r="A1319" s="12"/>
      <c r="B1319" s="9"/>
    </row>
    <row r="1320" spans="1:2" x14ac:dyDescent="0.2">
      <c r="A1320" s="12"/>
      <c r="B1320" s="9"/>
    </row>
    <row r="1321" spans="1:2" x14ac:dyDescent="0.2">
      <c r="A1321" s="12"/>
      <c r="B1321" s="9"/>
    </row>
    <row r="1322" spans="1:2" x14ac:dyDescent="0.2">
      <c r="A1322" s="12"/>
      <c r="B1322" s="9"/>
    </row>
    <row r="1323" spans="1:2" x14ac:dyDescent="0.2">
      <c r="A1323" s="12"/>
      <c r="B1323" s="9"/>
    </row>
    <row r="1324" spans="1:2" x14ac:dyDescent="0.2">
      <c r="A1324" s="12"/>
      <c r="B1324" s="9"/>
    </row>
    <row r="1325" spans="1:2" x14ac:dyDescent="0.2">
      <c r="A1325" s="12"/>
      <c r="B1325" s="9"/>
    </row>
    <row r="1326" spans="1:2" x14ac:dyDescent="0.2">
      <c r="A1326" s="12"/>
      <c r="B1326" s="9"/>
    </row>
    <row r="1327" spans="1:2" x14ac:dyDescent="0.2">
      <c r="A1327" s="12"/>
      <c r="B1327" s="9"/>
    </row>
    <row r="1328" spans="1:2" x14ac:dyDescent="0.2">
      <c r="A1328" s="12"/>
      <c r="B1328" s="9"/>
    </row>
    <row r="1329" spans="1:2" x14ac:dyDescent="0.2">
      <c r="A1329" s="12"/>
      <c r="B1329" s="9"/>
    </row>
    <row r="1330" spans="1:2" x14ac:dyDescent="0.2">
      <c r="A1330" s="12"/>
      <c r="B1330" s="9"/>
    </row>
    <row r="1331" spans="1:2" x14ac:dyDescent="0.2">
      <c r="A1331" s="12"/>
      <c r="B1331" s="9"/>
    </row>
    <row r="1332" spans="1:2" x14ac:dyDescent="0.2">
      <c r="A1332" s="12"/>
      <c r="B1332" s="9"/>
    </row>
    <row r="1333" spans="1:2" x14ac:dyDescent="0.2">
      <c r="A1333" s="12"/>
      <c r="B1333" s="9"/>
    </row>
    <row r="1334" spans="1:2" x14ac:dyDescent="0.2">
      <c r="A1334" s="12"/>
      <c r="B1334" s="9"/>
    </row>
    <row r="1335" spans="1:2" x14ac:dyDescent="0.2">
      <c r="A1335" s="12"/>
      <c r="B1335" s="9"/>
    </row>
    <row r="1336" spans="1:2" x14ac:dyDescent="0.2">
      <c r="A1336" s="12"/>
      <c r="B1336" s="9"/>
    </row>
    <row r="1337" spans="1:2" x14ac:dyDescent="0.2">
      <c r="A1337" s="12"/>
      <c r="B1337" s="9"/>
    </row>
    <row r="1338" spans="1:2" x14ac:dyDescent="0.2">
      <c r="A1338" s="12"/>
      <c r="B1338" s="9"/>
    </row>
    <row r="1339" spans="1:2" x14ac:dyDescent="0.2">
      <c r="A1339" s="12"/>
      <c r="B1339" s="9"/>
    </row>
    <row r="1340" spans="1:2" x14ac:dyDescent="0.2">
      <c r="A1340" s="12"/>
      <c r="B1340" s="9"/>
    </row>
    <row r="1341" spans="1:2" x14ac:dyDescent="0.2">
      <c r="A1341" s="12"/>
      <c r="B1341" s="9"/>
    </row>
    <row r="1342" spans="1:2" x14ac:dyDescent="0.2">
      <c r="A1342" s="12"/>
      <c r="B1342" s="9"/>
    </row>
    <row r="1343" spans="1:2" x14ac:dyDescent="0.2">
      <c r="A1343" s="12"/>
      <c r="B1343" s="9"/>
    </row>
    <row r="1344" spans="1:2" x14ac:dyDescent="0.2">
      <c r="A1344" s="12"/>
      <c r="B1344" s="9"/>
    </row>
    <row r="1345" spans="1:2" x14ac:dyDescent="0.2">
      <c r="A1345" s="12"/>
      <c r="B1345" s="9"/>
    </row>
    <row r="1346" spans="1:2" x14ac:dyDescent="0.2">
      <c r="A1346" s="12"/>
      <c r="B1346" s="9"/>
    </row>
    <row r="1347" spans="1:2" x14ac:dyDescent="0.2">
      <c r="A1347" s="12"/>
      <c r="B1347" s="9"/>
    </row>
    <row r="1348" spans="1:2" x14ac:dyDescent="0.2">
      <c r="A1348" s="12"/>
      <c r="B1348" s="9"/>
    </row>
    <row r="1349" spans="1:2" x14ac:dyDescent="0.2">
      <c r="A1349" s="12"/>
      <c r="B1349" s="9"/>
    </row>
    <row r="1350" spans="1:2" x14ac:dyDescent="0.2">
      <c r="A1350" s="12"/>
      <c r="B1350" s="9"/>
    </row>
    <row r="1351" spans="1:2" x14ac:dyDescent="0.2">
      <c r="A1351" s="12"/>
      <c r="B1351" s="9"/>
    </row>
    <row r="1352" spans="1:2" x14ac:dyDescent="0.2">
      <c r="A1352" s="12"/>
      <c r="B1352" s="9"/>
    </row>
    <row r="1353" spans="1:2" x14ac:dyDescent="0.2">
      <c r="A1353" s="12"/>
      <c r="B1353" s="9"/>
    </row>
    <row r="1354" spans="1:2" x14ac:dyDescent="0.2">
      <c r="A1354" s="12"/>
      <c r="B1354" s="9"/>
    </row>
    <row r="1355" spans="1:2" x14ac:dyDescent="0.2">
      <c r="A1355" s="12"/>
      <c r="B1355" s="9"/>
    </row>
    <row r="1356" spans="1:2" x14ac:dyDescent="0.2">
      <c r="A1356" s="12"/>
      <c r="B1356" s="9"/>
    </row>
    <row r="1357" spans="1:2" x14ac:dyDescent="0.2">
      <c r="A1357" s="12"/>
      <c r="B1357" s="9"/>
    </row>
    <row r="1358" spans="1:2" x14ac:dyDescent="0.2">
      <c r="A1358" s="12"/>
      <c r="B1358" s="9"/>
    </row>
    <row r="1359" spans="1:2" x14ac:dyDescent="0.2">
      <c r="A1359" s="12"/>
      <c r="B1359" s="9"/>
    </row>
    <row r="1360" spans="1:2" x14ac:dyDescent="0.2">
      <c r="A1360" s="12"/>
      <c r="B1360" s="9"/>
    </row>
    <row r="1361" spans="1:2" x14ac:dyDescent="0.2">
      <c r="A1361" s="12"/>
      <c r="B1361" s="9"/>
    </row>
    <row r="1362" spans="1:2" x14ac:dyDescent="0.2">
      <c r="A1362" s="12"/>
      <c r="B1362" s="9"/>
    </row>
    <row r="1363" spans="1:2" x14ac:dyDescent="0.2">
      <c r="A1363" s="12"/>
      <c r="B1363" s="9"/>
    </row>
    <row r="1364" spans="1:2" x14ac:dyDescent="0.2">
      <c r="A1364" s="12"/>
      <c r="B1364" s="9"/>
    </row>
    <row r="1365" spans="1:2" x14ac:dyDescent="0.2">
      <c r="A1365" s="12"/>
      <c r="B1365" s="9"/>
    </row>
    <row r="1366" spans="1:2" x14ac:dyDescent="0.2">
      <c r="A1366" s="12"/>
      <c r="B1366" s="9"/>
    </row>
    <row r="1367" spans="1:2" x14ac:dyDescent="0.2">
      <c r="A1367" s="12"/>
      <c r="B1367" s="9"/>
    </row>
    <row r="1368" spans="1:2" x14ac:dyDescent="0.2">
      <c r="A1368" s="12"/>
      <c r="B1368" s="9"/>
    </row>
    <row r="1369" spans="1:2" x14ac:dyDescent="0.2">
      <c r="A1369" s="12"/>
      <c r="B1369" s="9"/>
    </row>
    <row r="1370" spans="1:2" x14ac:dyDescent="0.2">
      <c r="A1370" s="12"/>
      <c r="B1370" s="9"/>
    </row>
    <row r="1371" spans="1:2" x14ac:dyDescent="0.2">
      <c r="A1371" s="12"/>
      <c r="B1371" s="9"/>
    </row>
    <row r="1372" spans="1:2" x14ac:dyDescent="0.2">
      <c r="A1372" s="12"/>
      <c r="B1372" s="9"/>
    </row>
    <row r="1373" spans="1:2" x14ac:dyDescent="0.2">
      <c r="A1373" s="12"/>
      <c r="B1373" s="9"/>
    </row>
    <row r="1374" spans="1:2" x14ac:dyDescent="0.2">
      <c r="A1374" s="12"/>
      <c r="B1374" s="9"/>
    </row>
    <row r="1375" spans="1:2" x14ac:dyDescent="0.2">
      <c r="A1375" s="12"/>
      <c r="B1375" s="9"/>
    </row>
    <row r="1376" spans="1:2" x14ac:dyDescent="0.2">
      <c r="A1376" s="12"/>
      <c r="B1376" s="9"/>
    </row>
    <row r="1377" spans="1:2" x14ac:dyDescent="0.2">
      <c r="A1377" s="12"/>
      <c r="B1377" s="9"/>
    </row>
    <row r="1378" spans="1:2" x14ac:dyDescent="0.2">
      <c r="A1378" s="12"/>
      <c r="B1378" s="9"/>
    </row>
    <row r="1379" spans="1:2" x14ac:dyDescent="0.2">
      <c r="A1379" s="12"/>
      <c r="B1379" s="9"/>
    </row>
    <row r="1380" spans="1:2" x14ac:dyDescent="0.2">
      <c r="A1380" s="12"/>
      <c r="B1380" s="9"/>
    </row>
    <row r="1381" spans="1:2" x14ac:dyDescent="0.2">
      <c r="A1381" s="12"/>
      <c r="B1381" s="9"/>
    </row>
    <row r="1382" spans="1:2" x14ac:dyDescent="0.2">
      <c r="A1382" s="12"/>
      <c r="B1382" s="9"/>
    </row>
    <row r="1383" spans="1:2" x14ac:dyDescent="0.2">
      <c r="A1383" s="12"/>
      <c r="B1383" s="9"/>
    </row>
    <row r="1384" spans="1:2" x14ac:dyDescent="0.2">
      <c r="A1384" s="12"/>
      <c r="B1384" s="9"/>
    </row>
    <row r="1385" spans="1:2" x14ac:dyDescent="0.2">
      <c r="A1385" s="12"/>
      <c r="B1385" s="9"/>
    </row>
    <row r="1386" spans="1:2" x14ac:dyDescent="0.2">
      <c r="A1386" s="12"/>
      <c r="B1386" s="9"/>
    </row>
    <row r="1387" spans="1:2" x14ac:dyDescent="0.2">
      <c r="A1387" s="12"/>
      <c r="B1387" s="9"/>
    </row>
    <row r="1388" spans="1:2" x14ac:dyDescent="0.2">
      <c r="A1388" s="12"/>
      <c r="B1388" s="9"/>
    </row>
    <row r="1389" spans="1:2" x14ac:dyDescent="0.2">
      <c r="A1389" s="12"/>
      <c r="B1389" s="9"/>
    </row>
    <row r="1390" spans="1:2" x14ac:dyDescent="0.2">
      <c r="A1390" s="12"/>
      <c r="B1390" s="9"/>
    </row>
    <row r="1391" spans="1:2" x14ac:dyDescent="0.2">
      <c r="A1391" s="12"/>
      <c r="B1391" s="9"/>
    </row>
    <row r="1392" spans="1:2" x14ac:dyDescent="0.2">
      <c r="A1392" s="12"/>
      <c r="B1392" s="9"/>
    </row>
    <row r="1393" spans="1:2" x14ac:dyDescent="0.2">
      <c r="A1393" s="12"/>
      <c r="B1393" s="9"/>
    </row>
    <row r="1394" spans="1:2" x14ac:dyDescent="0.2">
      <c r="A1394" s="12"/>
      <c r="B1394" s="9"/>
    </row>
    <row r="1395" spans="1:2" x14ac:dyDescent="0.2">
      <c r="A1395" s="12"/>
      <c r="B1395" s="9"/>
    </row>
    <row r="1396" spans="1:2" x14ac:dyDescent="0.2">
      <c r="A1396" s="12"/>
      <c r="B1396" s="9"/>
    </row>
    <row r="1397" spans="1:2" x14ac:dyDescent="0.2">
      <c r="A1397" s="12"/>
      <c r="B1397" s="9"/>
    </row>
    <row r="1398" spans="1:2" x14ac:dyDescent="0.2">
      <c r="A1398" s="12"/>
      <c r="B1398" s="9"/>
    </row>
    <row r="1399" spans="1:2" x14ac:dyDescent="0.2">
      <c r="A1399" s="12"/>
      <c r="B1399" s="9"/>
    </row>
    <row r="1400" spans="1:2" x14ac:dyDescent="0.2">
      <c r="A1400" s="12"/>
      <c r="B1400" s="9"/>
    </row>
    <row r="1401" spans="1:2" x14ac:dyDescent="0.2">
      <c r="A1401" s="12"/>
      <c r="B1401" s="9"/>
    </row>
    <row r="1402" spans="1:2" x14ac:dyDescent="0.2">
      <c r="A1402" s="12"/>
      <c r="B1402" s="9"/>
    </row>
    <row r="1403" spans="1:2" x14ac:dyDescent="0.2">
      <c r="A1403" s="12"/>
      <c r="B1403" s="9"/>
    </row>
    <row r="1404" spans="1:2" x14ac:dyDescent="0.2">
      <c r="A1404" s="12"/>
      <c r="B1404" s="9"/>
    </row>
    <row r="1405" spans="1:2" x14ac:dyDescent="0.2">
      <c r="A1405" s="12"/>
      <c r="B1405" s="9"/>
    </row>
    <row r="1406" spans="1:2" x14ac:dyDescent="0.2">
      <c r="A1406" s="12"/>
      <c r="B1406" s="9"/>
    </row>
    <row r="1407" spans="1:2" x14ac:dyDescent="0.2">
      <c r="A1407" s="12"/>
      <c r="B1407" s="9"/>
    </row>
    <row r="1408" spans="1:2" x14ac:dyDescent="0.2">
      <c r="A1408" s="12"/>
      <c r="B1408" s="9"/>
    </row>
    <row r="1409" spans="1:2" x14ac:dyDescent="0.2">
      <c r="A1409" s="12"/>
      <c r="B1409" s="9"/>
    </row>
    <row r="1410" spans="1:2" x14ac:dyDescent="0.2">
      <c r="A1410" s="12"/>
      <c r="B1410" s="9"/>
    </row>
    <row r="1411" spans="1:2" x14ac:dyDescent="0.2">
      <c r="A1411" s="12"/>
      <c r="B1411" s="9"/>
    </row>
    <row r="1412" spans="1:2" x14ac:dyDescent="0.2">
      <c r="A1412" s="12"/>
      <c r="B1412" s="9"/>
    </row>
    <row r="1413" spans="1:2" x14ac:dyDescent="0.2">
      <c r="A1413" s="12"/>
      <c r="B1413" s="9"/>
    </row>
    <row r="1414" spans="1:2" x14ac:dyDescent="0.2">
      <c r="A1414" s="12"/>
      <c r="B1414" s="9"/>
    </row>
    <row r="1415" spans="1:2" x14ac:dyDescent="0.2">
      <c r="A1415" s="12"/>
      <c r="B1415" s="9"/>
    </row>
    <row r="1416" spans="1:2" x14ac:dyDescent="0.2">
      <c r="A1416" s="12"/>
      <c r="B1416" s="9"/>
    </row>
    <row r="1417" spans="1:2" x14ac:dyDescent="0.2">
      <c r="A1417" s="12"/>
      <c r="B1417" s="9"/>
    </row>
    <row r="1418" spans="1:2" x14ac:dyDescent="0.2">
      <c r="A1418" s="12"/>
      <c r="B1418" s="9"/>
    </row>
    <row r="1419" spans="1:2" x14ac:dyDescent="0.2">
      <c r="A1419" s="12"/>
      <c r="B1419" s="9"/>
    </row>
    <row r="1420" spans="1:2" x14ac:dyDescent="0.2">
      <c r="A1420" s="12"/>
      <c r="B1420" s="9"/>
    </row>
    <row r="1421" spans="1:2" x14ac:dyDescent="0.2">
      <c r="A1421" s="12"/>
      <c r="B1421" s="9"/>
    </row>
    <row r="1422" spans="1:2" x14ac:dyDescent="0.2">
      <c r="A1422" s="12"/>
      <c r="B1422" s="9"/>
    </row>
    <row r="1423" spans="1:2" x14ac:dyDescent="0.2">
      <c r="A1423" s="12"/>
      <c r="B1423" s="9"/>
    </row>
    <row r="1424" spans="1:2" x14ac:dyDescent="0.2">
      <c r="A1424" s="12"/>
      <c r="B1424" s="9"/>
    </row>
    <row r="1425" spans="1:2" x14ac:dyDescent="0.2">
      <c r="A1425" s="12"/>
      <c r="B1425" s="9"/>
    </row>
    <row r="1426" spans="1:2" x14ac:dyDescent="0.2">
      <c r="A1426" s="12"/>
      <c r="B1426" s="9"/>
    </row>
    <row r="1427" spans="1:2" x14ac:dyDescent="0.2">
      <c r="A1427" s="12"/>
      <c r="B1427" s="9"/>
    </row>
    <row r="1428" spans="1:2" x14ac:dyDescent="0.2">
      <c r="A1428" s="12"/>
      <c r="B1428" s="9"/>
    </row>
    <row r="1429" spans="1:2" x14ac:dyDescent="0.2">
      <c r="A1429" s="12"/>
      <c r="B1429" s="9"/>
    </row>
    <row r="1430" spans="1:2" x14ac:dyDescent="0.2">
      <c r="A1430" s="12"/>
      <c r="B1430" s="9"/>
    </row>
    <row r="1431" spans="1:2" x14ac:dyDescent="0.2">
      <c r="A1431" s="12"/>
      <c r="B1431" s="9"/>
    </row>
    <row r="1432" spans="1:2" x14ac:dyDescent="0.2">
      <c r="A1432" s="12"/>
      <c r="B1432" s="9"/>
    </row>
    <row r="1433" spans="1:2" x14ac:dyDescent="0.2">
      <c r="A1433" s="12"/>
      <c r="B1433" s="9"/>
    </row>
    <row r="1434" spans="1:2" x14ac:dyDescent="0.2">
      <c r="A1434" s="12"/>
      <c r="B1434" s="9"/>
    </row>
    <row r="1435" spans="1:2" x14ac:dyDescent="0.2">
      <c r="A1435" s="12"/>
      <c r="B1435" s="9"/>
    </row>
    <row r="1436" spans="1:2" x14ac:dyDescent="0.2">
      <c r="A1436" s="12"/>
      <c r="B1436" s="9"/>
    </row>
    <row r="1437" spans="1:2" x14ac:dyDescent="0.2">
      <c r="A1437" s="12"/>
      <c r="B1437" s="9"/>
    </row>
    <row r="1438" spans="1:2" x14ac:dyDescent="0.2">
      <c r="A1438" s="12"/>
      <c r="B1438" s="9"/>
    </row>
    <row r="1439" spans="1:2" x14ac:dyDescent="0.2">
      <c r="A1439" s="12"/>
      <c r="B1439" s="9"/>
    </row>
    <row r="1440" spans="1:2" x14ac:dyDescent="0.2">
      <c r="A1440" s="12"/>
      <c r="B1440" s="9"/>
    </row>
    <row r="1441" spans="1:2" x14ac:dyDescent="0.2">
      <c r="A1441" s="12"/>
      <c r="B1441" s="9"/>
    </row>
    <row r="1442" spans="1:2" x14ac:dyDescent="0.2">
      <c r="A1442" s="12"/>
      <c r="B1442" s="9"/>
    </row>
    <row r="1443" spans="1:2" x14ac:dyDescent="0.2">
      <c r="A1443" s="12"/>
      <c r="B1443" s="9"/>
    </row>
    <row r="1444" spans="1:2" x14ac:dyDescent="0.2">
      <c r="A1444" s="12"/>
      <c r="B1444" s="9"/>
    </row>
    <row r="1445" spans="1:2" x14ac:dyDescent="0.2">
      <c r="A1445" s="12"/>
      <c r="B1445" s="9"/>
    </row>
    <row r="1446" spans="1:2" x14ac:dyDescent="0.2">
      <c r="A1446" s="12"/>
      <c r="B1446" s="9"/>
    </row>
    <row r="1447" spans="1:2" x14ac:dyDescent="0.2">
      <c r="A1447" s="12"/>
      <c r="B1447" s="9"/>
    </row>
    <row r="1448" spans="1:2" x14ac:dyDescent="0.2">
      <c r="A1448" s="12"/>
      <c r="B1448" s="9"/>
    </row>
    <row r="1449" spans="1:2" x14ac:dyDescent="0.2">
      <c r="A1449" s="12"/>
      <c r="B1449" s="9"/>
    </row>
    <row r="1450" spans="1:2" x14ac:dyDescent="0.2">
      <c r="A1450" s="12"/>
      <c r="B1450" s="9"/>
    </row>
    <row r="1451" spans="1:2" x14ac:dyDescent="0.2">
      <c r="A1451" s="12"/>
      <c r="B1451" s="9"/>
    </row>
    <row r="1452" spans="1:2" x14ac:dyDescent="0.2">
      <c r="A1452" s="12"/>
      <c r="B1452" s="9"/>
    </row>
    <row r="1453" spans="1:2" x14ac:dyDescent="0.2">
      <c r="A1453" s="12"/>
      <c r="B1453" s="9"/>
    </row>
    <row r="1454" spans="1:2" x14ac:dyDescent="0.2">
      <c r="A1454" s="12"/>
      <c r="B1454" s="9"/>
    </row>
    <row r="1455" spans="1:2" x14ac:dyDescent="0.2">
      <c r="A1455" s="12"/>
      <c r="B1455" s="9"/>
    </row>
    <row r="1456" spans="1:2" x14ac:dyDescent="0.2">
      <c r="A1456" s="12"/>
      <c r="B1456" s="9"/>
    </row>
    <row r="1457" spans="1:2" x14ac:dyDescent="0.2">
      <c r="A1457" s="12"/>
      <c r="B1457" s="9"/>
    </row>
    <row r="1458" spans="1:2" x14ac:dyDescent="0.2">
      <c r="A1458" s="12"/>
      <c r="B1458" s="9"/>
    </row>
    <row r="1459" spans="1:2" x14ac:dyDescent="0.2">
      <c r="A1459" s="12"/>
      <c r="B1459" s="9"/>
    </row>
    <row r="1460" spans="1:2" x14ac:dyDescent="0.2">
      <c r="A1460" s="12"/>
      <c r="B1460" s="9"/>
    </row>
    <row r="1461" spans="1:2" x14ac:dyDescent="0.2">
      <c r="A1461" s="12"/>
      <c r="B1461" s="9"/>
    </row>
    <row r="1462" spans="1:2" x14ac:dyDescent="0.2">
      <c r="A1462" s="12"/>
      <c r="B1462" s="9"/>
    </row>
    <row r="1463" spans="1:2" x14ac:dyDescent="0.2">
      <c r="A1463" s="12"/>
      <c r="B1463" s="9"/>
    </row>
    <row r="1464" spans="1:2" x14ac:dyDescent="0.2">
      <c r="A1464" s="12"/>
      <c r="B1464" s="9"/>
    </row>
    <row r="1465" spans="1:2" x14ac:dyDescent="0.2">
      <c r="A1465" s="12"/>
      <c r="B1465" s="9"/>
    </row>
    <row r="1466" spans="1:2" x14ac:dyDescent="0.2">
      <c r="A1466" s="12"/>
      <c r="B1466" s="9"/>
    </row>
    <row r="1467" spans="1:2" x14ac:dyDescent="0.2">
      <c r="A1467" s="12"/>
      <c r="B1467" s="9"/>
    </row>
    <row r="1468" spans="1:2" x14ac:dyDescent="0.2">
      <c r="A1468" s="12"/>
      <c r="B1468" s="9"/>
    </row>
    <row r="1469" spans="1:2" x14ac:dyDescent="0.2">
      <c r="A1469" s="12"/>
      <c r="B1469" s="9"/>
    </row>
    <row r="1470" spans="1:2" x14ac:dyDescent="0.2">
      <c r="A1470" s="12"/>
      <c r="B1470" s="9"/>
    </row>
    <row r="1471" spans="1:2" x14ac:dyDescent="0.2">
      <c r="A1471" s="12"/>
      <c r="B1471" s="9"/>
    </row>
    <row r="1472" spans="1:2" x14ac:dyDescent="0.2">
      <c r="A1472" s="12"/>
      <c r="B1472" s="9"/>
    </row>
    <row r="1473" spans="1:2" x14ac:dyDescent="0.2">
      <c r="A1473" s="12"/>
      <c r="B1473" s="9"/>
    </row>
    <row r="1474" spans="1:2" x14ac:dyDescent="0.2">
      <c r="A1474" s="12"/>
      <c r="B1474" s="9"/>
    </row>
    <row r="1475" spans="1:2" x14ac:dyDescent="0.2">
      <c r="A1475" s="12"/>
      <c r="B1475" s="9"/>
    </row>
    <row r="1476" spans="1:2" x14ac:dyDescent="0.2">
      <c r="A1476" s="12"/>
      <c r="B1476" s="9"/>
    </row>
    <row r="1477" spans="1:2" x14ac:dyDescent="0.2">
      <c r="A1477" s="12"/>
      <c r="B1477" s="9"/>
    </row>
    <row r="1478" spans="1:2" x14ac:dyDescent="0.2">
      <c r="A1478" s="12"/>
      <c r="B1478" s="9"/>
    </row>
    <row r="1479" spans="1:2" x14ac:dyDescent="0.2">
      <c r="A1479" s="12"/>
      <c r="B1479" s="9"/>
    </row>
    <row r="1480" spans="1:2" x14ac:dyDescent="0.2">
      <c r="A1480" s="12"/>
      <c r="B1480" s="9"/>
    </row>
    <row r="1481" spans="1:2" x14ac:dyDescent="0.2">
      <c r="A1481" s="12"/>
      <c r="B1481" s="9"/>
    </row>
    <row r="1482" spans="1:2" x14ac:dyDescent="0.2">
      <c r="A1482" s="12"/>
      <c r="B1482" s="9"/>
    </row>
    <row r="1483" spans="1:2" x14ac:dyDescent="0.2">
      <c r="A1483" s="12"/>
      <c r="B1483" s="9"/>
    </row>
    <row r="1484" spans="1:2" x14ac:dyDescent="0.2">
      <c r="A1484" s="12"/>
      <c r="B1484" s="9"/>
    </row>
    <row r="1485" spans="1:2" x14ac:dyDescent="0.2">
      <c r="A1485" s="12"/>
      <c r="B1485" s="9"/>
    </row>
    <row r="1486" spans="1:2" x14ac:dyDescent="0.2">
      <c r="A1486" s="12"/>
      <c r="B1486" s="9"/>
    </row>
    <row r="1487" spans="1:2" x14ac:dyDescent="0.2">
      <c r="A1487" s="12"/>
      <c r="B1487" s="9"/>
    </row>
    <row r="1488" spans="1:2" x14ac:dyDescent="0.2">
      <c r="A1488" s="12"/>
      <c r="B1488" s="9"/>
    </row>
    <row r="1489" spans="1:2" x14ac:dyDescent="0.2">
      <c r="A1489" s="12"/>
      <c r="B1489" s="9"/>
    </row>
    <row r="1490" spans="1:2" x14ac:dyDescent="0.2">
      <c r="A1490" s="12"/>
      <c r="B1490" s="9"/>
    </row>
    <row r="1491" spans="1:2" x14ac:dyDescent="0.2">
      <c r="A1491" s="12"/>
      <c r="B1491" s="9"/>
    </row>
    <row r="1492" spans="1:2" x14ac:dyDescent="0.2">
      <c r="A1492" s="12"/>
      <c r="B1492" s="9"/>
    </row>
    <row r="1493" spans="1:2" x14ac:dyDescent="0.2">
      <c r="A1493" s="12"/>
      <c r="B1493" s="9"/>
    </row>
    <row r="1494" spans="1:2" x14ac:dyDescent="0.2">
      <c r="A1494" s="12"/>
      <c r="B1494" s="9"/>
    </row>
    <row r="1495" spans="1:2" x14ac:dyDescent="0.2">
      <c r="A1495" s="12"/>
      <c r="B1495" s="9"/>
    </row>
    <row r="1496" spans="1:2" x14ac:dyDescent="0.2">
      <c r="A1496" s="12"/>
      <c r="B1496" s="9"/>
    </row>
    <row r="1497" spans="1:2" x14ac:dyDescent="0.2">
      <c r="A1497" s="12"/>
      <c r="B1497" s="9"/>
    </row>
    <row r="1498" spans="1:2" x14ac:dyDescent="0.2">
      <c r="A1498" s="12"/>
      <c r="B1498" s="9"/>
    </row>
    <row r="1499" spans="1:2" x14ac:dyDescent="0.2">
      <c r="A1499" s="12"/>
      <c r="B1499" s="9"/>
    </row>
    <row r="1500" spans="1:2" x14ac:dyDescent="0.2">
      <c r="A1500" s="12"/>
      <c r="B1500" s="9"/>
    </row>
    <row r="1501" spans="1:2" x14ac:dyDescent="0.2">
      <c r="A1501" s="12"/>
      <c r="B1501" s="9"/>
    </row>
    <row r="1502" spans="1:2" x14ac:dyDescent="0.2">
      <c r="A1502" s="12"/>
      <c r="B1502" s="9"/>
    </row>
    <row r="1503" spans="1:2" x14ac:dyDescent="0.2">
      <c r="A1503" s="12"/>
      <c r="B1503" s="9"/>
    </row>
    <row r="1504" spans="1:2" x14ac:dyDescent="0.2">
      <c r="A1504" s="12"/>
      <c r="B1504" s="9"/>
    </row>
    <row r="1505" spans="1:2" x14ac:dyDescent="0.2">
      <c r="A1505" s="12"/>
      <c r="B1505" s="9"/>
    </row>
    <row r="1506" spans="1:2" x14ac:dyDescent="0.2">
      <c r="A1506" s="12"/>
      <c r="B1506" s="9"/>
    </row>
    <row r="1507" spans="1:2" x14ac:dyDescent="0.2">
      <c r="A1507" s="12"/>
      <c r="B1507" s="9"/>
    </row>
    <row r="1508" spans="1:2" x14ac:dyDescent="0.2">
      <c r="A1508" s="12"/>
      <c r="B1508" s="9"/>
    </row>
    <row r="1509" spans="1:2" x14ac:dyDescent="0.2">
      <c r="A1509" s="12"/>
      <c r="B1509" s="9"/>
    </row>
    <row r="1510" spans="1:2" x14ac:dyDescent="0.2">
      <c r="A1510" s="12"/>
      <c r="B1510" s="9"/>
    </row>
    <row r="1511" spans="1:2" x14ac:dyDescent="0.2">
      <c r="A1511" s="12"/>
      <c r="B1511" s="9"/>
    </row>
    <row r="1512" spans="1:2" x14ac:dyDescent="0.2">
      <c r="A1512" s="12"/>
      <c r="B1512" s="9"/>
    </row>
    <row r="1513" spans="1:2" x14ac:dyDescent="0.2">
      <c r="A1513" s="12"/>
      <c r="B1513" s="9"/>
    </row>
    <row r="1514" spans="1:2" x14ac:dyDescent="0.2">
      <c r="A1514" s="12"/>
      <c r="B1514" s="9"/>
    </row>
    <row r="1515" spans="1:2" x14ac:dyDescent="0.2">
      <c r="A1515" s="12"/>
      <c r="B1515" s="9"/>
    </row>
    <row r="1516" spans="1:2" x14ac:dyDescent="0.2">
      <c r="A1516" s="12"/>
      <c r="B1516" s="9"/>
    </row>
    <row r="1517" spans="1:2" x14ac:dyDescent="0.2">
      <c r="A1517" s="12"/>
      <c r="B1517" s="9"/>
    </row>
    <row r="1518" spans="1:2" x14ac:dyDescent="0.2">
      <c r="A1518" s="12"/>
      <c r="B1518" s="9"/>
    </row>
    <row r="1519" spans="1:2" x14ac:dyDescent="0.2">
      <c r="A1519" s="12"/>
      <c r="B1519" s="9"/>
    </row>
    <row r="1520" spans="1:2" x14ac:dyDescent="0.2">
      <c r="A1520" s="12"/>
      <c r="B1520" s="9"/>
    </row>
    <row r="1521" spans="1:2" x14ac:dyDescent="0.2">
      <c r="A1521" s="12"/>
      <c r="B1521" s="9"/>
    </row>
    <row r="1522" spans="1:2" x14ac:dyDescent="0.2">
      <c r="A1522" s="12"/>
      <c r="B1522" s="9"/>
    </row>
    <row r="1523" spans="1:2" x14ac:dyDescent="0.2">
      <c r="A1523" s="12"/>
      <c r="B1523" s="9"/>
    </row>
    <row r="1524" spans="1:2" x14ac:dyDescent="0.2">
      <c r="A1524" s="12"/>
      <c r="B1524" s="9"/>
    </row>
    <row r="1525" spans="1:2" x14ac:dyDescent="0.2">
      <c r="A1525" s="12"/>
      <c r="B1525" s="9"/>
    </row>
    <row r="1526" spans="1:2" x14ac:dyDescent="0.2">
      <c r="A1526" s="12"/>
      <c r="B1526" s="9"/>
    </row>
    <row r="1527" spans="1:2" x14ac:dyDescent="0.2">
      <c r="A1527" s="12"/>
      <c r="B1527" s="9"/>
    </row>
    <row r="1528" spans="1:2" x14ac:dyDescent="0.2">
      <c r="A1528" s="12"/>
      <c r="B1528" s="9"/>
    </row>
    <row r="1529" spans="1:2" x14ac:dyDescent="0.2">
      <c r="A1529" s="12"/>
      <c r="B1529" s="9"/>
    </row>
    <row r="1530" spans="1:2" x14ac:dyDescent="0.2">
      <c r="A1530" s="12"/>
      <c r="B1530" s="9"/>
    </row>
    <row r="1531" spans="1:2" x14ac:dyDescent="0.2">
      <c r="A1531" s="12"/>
      <c r="B1531" s="9"/>
    </row>
    <row r="1532" spans="1:2" x14ac:dyDescent="0.2">
      <c r="A1532" s="12"/>
      <c r="B1532" s="9"/>
    </row>
    <row r="1533" spans="1:2" x14ac:dyDescent="0.2">
      <c r="A1533" s="12"/>
      <c r="B1533" s="9"/>
    </row>
    <row r="1534" spans="1:2" x14ac:dyDescent="0.2">
      <c r="A1534" s="12"/>
      <c r="B1534" s="9"/>
    </row>
    <row r="1535" spans="1:2" x14ac:dyDescent="0.2">
      <c r="A1535" s="12"/>
      <c r="B1535" s="9"/>
    </row>
    <row r="1536" spans="1:2" x14ac:dyDescent="0.2">
      <c r="A1536" s="12"/>
      <c r="B1536" s="9"/>
    </row>
    <row r="1537" spans="1:2" x14ac:dyDescent="0.2">
      <c r="A1537" s="12"/>
      <c r="B1537" s="9"/>
    </row>
    <row r="1538" spans="1:2" x14ac:dyDescent="0.2">
      <c r="A1538" s="12"/>
      <c r="B1538" s="9"/>
    </row>
    <row r="1539" spans="1:2" x14ac:dyDescent="0.2">
      <c r="A1539" s="12"/>
      <c r="B1539" s="9"/>
    </row>
    <row r="1540" spans="1:2" x14ac:dyDescent="0.2">
      <c r="A1540" s="12"/>
      <c r="B1540" s="9"/>
    </row>
    <row r="1541" spans="1:2" x14ac:dyDescent="0.2">
      <c r="A1541" s="12"/>
      <c r="B1541" s="9"/>
    </row>
    <row r="1542" spans="1:2" x14ac:dyDescent="0.2">
      <c r="A1542" s="12"/>
      <c r="B1542" s="9"/>
    </row>
    <row r="1543" spans="1:2" x14ac:dyDescent="0.2">
      <c r="A1543" s="12"/>
      <c r="B1543" s="9"/>
    </row>
    <row r="1544" spans="1:2" x14ac:dyDescent="0.2">
      <c r="A1544" s="12"/>
      <c r="B1544" s="9"/>
    </row>
    <row r="1545" spans="1:2" x14ac:dyDescent="0.2">
      <c r="A1545" s="12"/>
      <c r="B1545" s="9"/>
    </row>
    <row r="1546" spans="1:2" x14ac:dyDescent="0.2">
      <c r="A1546" s="12"/>
      <c r="B1546" s="9"/>
    </row>
    <row r="1547" spans="1:2" x14ac:dyDescent="0.2">
      <c r="A1547" s="12"/>
      <c r="B1547" s="9"/>
    </row>
    <row r="1548" spans="1:2" x14ac:dyDescent="0.2">
      <c r="A1548" s="12"/>
      <c r="B1548" s="9"/>
    </row>
    <row r="1549" spans="1:2" x14ac:dyDescent="0.2">
      <c r="A1549" s="12"/>
      <c r="B1549" s="9"/>
    </row>
    <row r="1550" spans="1:2" x14ac:dyDescent="0.2">
      <c r="A1550" s="12"/>
      <c r="B1550" s="9"/>
    </row>
    <row r="1551" spans="1:2" x14ac:dyDescent="0.2">
      <c r="A1551" s="12"/>
      <c r="B1551" s="9"/>
    </row>
    <row r="1552" spans="1:2" x14ac:dyDescent="0.2">
      <c r="A1552" s="12"/>
      <c r="B1552" s="9"/>
    </row>
    <row r="1553" spans="1:2" x14ac:dyDescent="0.2">
      <c r="A1553" s="12"/>
      <c r="B1553" s="9"/>
    </row>
    <row r="1554" spans="1:2" x14ac:dyDescent="0.2">
      <c r="A1554" s="12"/>
      <c r="B1554" s="9"/>
    </row>
    <row r="1555" spans="1:2" x14ac:dyDescent="0.2">
      <c r="A1555" s="12"/>
      <c r="B1555" s="9"/>
    </row>
    <row r="1556" spans="1:2" x14ac:dyDescent="0.2">
      <c r="A1556" s="12"/>
      <c r="B1556" s="9"/>
    </row>
    <row r="1557" spans="1:2" x14ac:dyDescent="0.2">
      <c r="A1557" s="12"/>
      <c r="B1557" s="9"/>
    </row>
    <row r="1558" spans="1:2" x14ac:dyDescent="0.2">
      <c r="A1558" s="12"/>
      <c r="B1558" s="9"/>
    </row>
    <row r="1559" spans="1:2" x14ac:dyDescent="0.2">
      <c r="A1559" s="12"/>
      <c r="B1559" s="9"/>
    </row>
    <row r="1560" spans="1:2" x14ac:dyDescent="0.2">
      <c r="A1560" s="12"/>
      <c r="B1560" s="9"/>
    </row>
    <row r="1561" spans="1:2" x14ac:dyDescent="0.2">
      <c r="A1561" s="12"/>
      <c r="B1561" s="9"/>
    </row>
    <row r="1562" spans="1:2" x14ac:dyDescent="0.2">
      <c r="A1562" s="12"/>
      <c r="B1562" s="9"/>
    </row>
    <row r="1563" spans="1:2" x14ac:dyDescent="0.2">
      <c r="A1563" s="12"/>
      <c r="B1563" s="9"/>
    </row>
    <row r="1564" spans="1:2" x14ac:dyDescent="0.2">
      <c r="A1564" s="12"/>
      <c r="B1564" s="9"/>
    </row>
    <row r="1565" spans="1:2" x14ac:dyDescent="0.2">
      <c r="A1565" s="12"/>
      <c r="B1565" s="9"/>
    </row>
    <row r="1566" spans="1:2" x14ac:dyDescent="0.2">
      <c r="A1566" s="12"/>
      <c r="B1566" s="9"/>
    </row>
    <row r="1567" spans="1:2" x14ac:dyDescent="0.2">
      <c r="A1567" s="12"/>
      <c r="B1567" s="9"/>
    </row>
    <row r="1568" spans="1:2" x14ac:dyDescent="0.2">
      <c r="A1568" s="12"/>
      <c r="B1568" s="9"/>
    </row>
    <row r="1569" spans="1:2" x14ac:dyDescent="0.2">
      <c r="A1569" s="12"/>
      <c r="B1569" s="9"/>
    </row>
    <row r="1570" spans="1:2" x14ac:dyDescent="0.2">
      <c r="A1570" s="12"/>
      <c r="B1570" s="9"/>
    </row>
    <row r="1571" spans="1:2" x14ac:dyDescent="0.2">
      <c r="A1571" s="12"/>
      <c r="B1571" s="9"/>
    </row>
    <row r="1572" spans="1:2" x14ac:dyDescent="0.2">
      <c r="A1572" s="12"/>
      <c r="B1572" s="9"/>
    </row>
    <row r="1573" spans="1:2" x14ac:dyDescent="0.2">
      <c r="A1573" s="12"/>
      <c r="B1573" s="9"/>
    </row>
    <row r="1574" spans="1:2" x14ac:dyDescent="0.2">
      <c r="A1574" s="12"/>
      <c r="B1574" s="9"/>
    </row>
    <row r="1575" spans="1:2" x14ac:dyDescent="0.2">
      <c r="A1575" s="12"/>
      <c r="B1575" s="9"/>
    </row>
    <row r="1576" spans="1:2" x14ac:dyDescent="0.2">
      <c r="A1576" s="12"/>
      <c r="B1576" s="9"/>
    </row>
    <row r="1577" spans="1:2" x14ac:dyDescent="0.2">
      <c r="A1577" s="12"/>
      <c r="B1577" s="9"/>
    </row>
    <row r="1578" spans="1:2" x14ac:dyDescent="0.2">
      <c r="A1578" s="12"/>
      <c r="B1578" s="9"/>
    </row>
    <row r="1579" spans="1:2" x14ac:dyDescent="0.2">
      <c r="A1579" s="12"/>
      <c r="B1579" s="9"/>
    </row>
    <row r="1580" spans="1:2" x14ac:dyDescent="0.2">
      <c r="A1580" s="12"/>
      <c r="B1580" s="9"/>
    </row>
    <row r="1581" spans="1:2" x14ac:dyDescent="0.2">
      <c r="A1581" s="12"/>
      <c r="B1581" s="9"/>
    </row>
    <row r="1582" spans="1:2" x14ac:dyDescent="0.2">
      <c r="A1582" s="12"/>
      <c r="B1582" s="9"/>
    </row>
    <row r="1583" spans="1:2" x14ac:dyDescent="0.2">
      <c r="A1583" s="12"/>
      <c r="B1583" s="9"/>
    </row>
    <row r="1584" spans="1:2" x14ac:dyDescent="0.2">
      <c r="A1584" s="12"/>
      <c r="B1584" s="9"/>
    </row>
    <row r="1585" spans="1:2" x14ac:dyDescent="0.2">
      <c r="A1585" s="12"/>
      <c r="B1585" s="9"/>
    </row>
    <row r="1586" spans="1:2" x14ac:dyDescent="0.2">
      <c r="A1586" s="12"/>
      <c r="B1586" s="9"/>
    </row>
    <row r="1587" spans="1:2" x14ac:dyDescent="0.2">
      <c r="A1587" s="12"/>
      <c r="B1587" s="9"/>
    </row>
    <row r="1588" spans="1:2" x14ac:dyDescent="0.2">
      <c r="A1588" s="12"/>
      <c r="B1588" s="9"/>
    </row>
    <row r="1589" spans="1:2" x14ac:dyDescent="0.2">
      <c r="A1589" s="12"/>
      <c r="B1589" s="9"/>
    </row>
    <row r="1590" spans="1:2" x14ac:dyDescent="0.2">
      <c r="A1590" s="12"/>
      <c r="B1590" s="9"/>
    </row>
    <row r="1591" spans="1:2" x14ac:dyDescent="0.2">
      <c r="A1591" s="12"/>
      <c r="B1591" s="9"/>
    </row>
    <row r="1592" spans="1:2" x14ac:dyDescent="0.2">
      <c r="A1592" s="12"/>
      <c r="B1592" s="9"/>
    </row>
    <row r="1593" spans="1:2" x14ac:dyDescent="0.2">
      <c r="A1593" s="12"/>
      <c r="B1593" s="9"/>
    </row>
    <row r="1594" spans="1:2" x14ac:dyDescent="0.2">
      <c r="A1594" s="12"/>
      <c r="B1594" s="9"/>
    </row>
    <row r="1595" spans="1:2" x14ac:dyDescent="0.2">
      <c r="A1595" s="12"/>
      <c r="B1595" s="9"/>
    </row>
    <row r="1596" spans="1:2" x14ac:dyDescent="0.2">
      <c r="A1596" s="12"/>
      <c r="B1596" s="9"/>
    </row>
    <row r="1597" spans="1:2" x14ac:dyDescent="0.2">
      <c r="A1597" s="12"/>
      <c r="B1597" s="9"/>
    </row>
    <row r="1598" spans="1:2" x14ac:dyDescent="0.2">
      <c r="A1598" s="12"/>
      <c r="B1598" s="9"/>
    </row>
    <row r="1599" spans="1:2" x14ac:dyDescent="0.2">
      <c r="A1599" s="12"/>
      <c r="B1599" s="9"/>
    </row>
    <row r="1600" spans="1:2" x14ac:dyDescent="0.2">
      <c r="A1600" s="12"/>
      <c r="B1600" s="9"/>
    </row>
    <row r="1601" spans="1:2" x14ac:dyDescent="0.2">
      <c r="A1601" s="12"/>
      <c r="B1601" s="9"/>
    </row>
    <row r="1602" spans="1:2" x14ac:dyDescent="0.2">
      <c r="A1602" s="12"/>
      <c r="B1602" s="9"/>
    </row>
    <row r="1603" spans="1:2" x14ac:dyDescent="0.2">
      <c r="A1603" s="12"/>
      <c r="B1603" s="9"/>
    </row>
    <row r="1604" spans="1:2" x14ac:dyDescent="0.2">
      <c r="A1604" s="12"/>
      <c r="B1604" s="9"/>
    </row>
    <row r="1605" spans="1:2" x14ac:dyDescent="0.2">
      <c r="A1605" s="12"/>
      <c r="B1605" s="9"/>
    </row>
    <row r="1606" spans="1:2" x14ac:dyDescent="0.2">
      <c r="A1606" s="12"/>
      <c r="B1606" s="9"/>
    </row>
    <row r="1607" spans="1:2" x14ac:dyDescent="0.2">
      <c r="A1607" s="12"/>
      <c r="B1607" s="9"/>
    </row>
    <row r="1608" spans="1:2" x14ac:dyDescent="0.2">
      <c r="A1608" s="12"/>
      <c r="B1608" s="9"/>
    </row>
    <row r="1609" spans="1:2" x14ac:dyDescent="0.2">
      <c r="A1609" s="12"/>
      <c r="B1609" s="9"/>
    </row>
    <row r="1610" spans="1:2" x14ac:dyDescent="0.2">
      <c r="A1610" s="12"/>
      <c r="B1610" s="9"/>
    </row>
    <row r="1611" spans="1:2" x14ac:dyDescent="0.2">
      <c r="A1611" s="12"/>
      <c r="B1611" s="9"/>
    </row>
    <row r="1612" spans="1:2" x14ac:dyDescent="0.2">
      <c r="A1612" s="12"/>
      <c r="B1612" s="9"/>
    </row>
    <row r="1613" spans="1:2" x14ac:dyDescent="0.2">
      <c r="A1613" s="12"/>
      <c r="B1613" s="9"/>
    </row>
    <row r="1614" spans="1:2" x14ac:dyDescent="0.2">
      <c r="A1614" s="12"/>
      <c r="B1614" s="9"/>
    </row>
    <row r="1615" spans="1:2" x14ac:dyDescent="0.2">
      <c r="A1615" s="12"/>
      <c r="B1615" s="9"/>
    </row>
    <row r="1616" spans="1:2" x14ac:dyDescent="0.2">
      <c r="A1616" s="12"/>
      <c r="B1616" s="9"/>
    </row>
    <row r="1617" spans="1:2" x14ac:dyDescent="0.2">
      <c r="A1617" s="12"/>
      <c r="B1617" s="9"/>
    </row>
    <row r="1618" spans="1:2" x14ac:dyDescent="0.2">
      <c r="A1618" s="12"/>
      <c r="B1618" s="9"/>
    </row>
    <row r="1619" spans="1:2" x14ac:dyDescent="0.2">
      <c r="A1619" s="12"/>
      <c r="B1619" s="9"/>
    </row>
    <row r="1620" spans="1:2" x14ac:dyDescent="0.2">
      <c r="A1620" s="12"/>
      <c r="B1620" s="9"/>
    </row>
    <row r="1621" spans="1:2" x14ac:dyDescent="0.2">
      <c r="A1621" s="12"/>
      <c r="B1621" s="9"/>
    </row>
    <row r="1622" spans="1:2" x14ac:dyDescent="0.2">
      <c r="A1622" s="12"/>
      <c r="B1622" s="9"/>
    </row>
    <row r="1623" spans="1:2" x14ac:dyDescent="0.2">
      <c r="A1623" s="12"/>
      <c r="B1623" s="9"/>
    </row>
    <row r="1624" spans="1:2" x14ac:dyDescent="0.2">
      <c r="A1624" s="12"/>
      <c r="B1624" s="9"/>
    </row>
    <row r="1625" spans="1:2" x14ac:dyDescent="0.2">
      <c r="A1625" s="12"/>
      <c r="B1625" s="9"/>
    </row>
    <row r="1626" spans="1:2" x14ac:dyDescent="0.2">
      <c r="A1626" s="12"/>
      <c r="B1626" s="9"/>
    </row>
    <row r="1627" spans="1:2" x14ac:dyDescent="0.2">
      <c r="A1627" s="12"/>
      <c r="B1627" s="9"/>
    </row>
    <row r="1628" spans="1:2" x14ac:dyDescent="0.2">
      <c r="A1628" s="12"/>
      <c r="B1628" s="9"/>
    </row>
    <row r="1629" spans="1:2" x14ac:dyDescent="0.2">
      <c r="A1629" s="12"/>
      <c r="B1629" s="9"/>
    </row>
    <row r="1630" spans="1:2" x14ac:dyDescent="0.2">
      <c r="A1630" s="12"/>
      <c r="B1630" s="9"/>
    </row>
    <row r="1631" spans="1:2" x14ac:dyDescent="0.2">
      <c r="A1631" s="12"/>
      <c r="B1631" s="9"/>
    </row>
    <row r="1632" spans="1:2" x14ac:dyDescent="0.2">
      <c r="A1632" s="12"/>
      <c r="B1632" s="9"/>
    </row>
    <row r="1633" spans="1:2" x14ac:dyDescent="0.2">
      <c r="A1633" s="12"/>
      <c r="B1633" s="9"/>
    </row>
    <row r="1634" spans="1:2" x14ac:dyDescent="0.2">
      <c r="A1634" s="12"/>
      <c r="B1634" s="9"/>
    </row>
    <row r="1635" spans="1:2" x14ac:dyDescent="0.2">
      <c r="A1635" s="12"/>
      <c r="B1635" s="9"/>
    </row>
    <row r="1636" spans="1:2" x14ac:dyDescent="0.2">
      <c r="A1636" s="12"/>
      <c r="B1636" s="9"/>
    </row>
    <row r="1637" spans="1:2" x14ac:dyDescent="0.2">
      <c r="A1637" s="12"/>
      <c r="B1637" s="9"/>
    </row>
    <row r="1638" spans="1:2" x14ac:dyDescent="0.2">
      <c r="A1638" s="12"/>
      <c r="B1638" s="9"/>
    </row>
    <row r="1639" spans="1:2" x14ac:dyDescent="0.2">
      <c r="A1639" s="12"/>
      <c r="B1639" s="9"/>
    </row>
    <row r="1640" spans="1:2" x14ac:dyDescent="0.2">
      <c r="A1640" s="12"/>
      <c r="B1640" s="9"/>
    </row>
    <row r="1641" spans="1:2" x14ac:dyDescent="0.2">
      <c r="A1641" s="12"/>
      <c r="B1641" s="9"/>
    </row>
    <row r="1642" spans="1:2" x14ac:dyDescent="0.2">
      <c r="A1642" s="12"/>
      <c r="B1642" s="9"/>
    </row>
    <row r="1643" spans="1:2" x14ac:dyDescent="0.2">
      <c r="A1643" s="12"/>
      <c r="B1643" s="9"/>
    </row>
    <row r="1644" spans="1:2" x14ac:dyDescent="0.2">
      <c r="A1644" s="12"/>
      <c r="B1644" s="9"/>
    </row>
    <row r="1645" spans="1:2" x14ac:dyDescent="0.2">
      <c r="A1645" s="12"/>
      <c r="B1645" s="9"/>
    </row>
    <row r="1646" spans="1:2" x14ac:dyDescent="0.2">
      <c r="A1646" s="12"/>
      <c r="B1646" s="9"/>
    </row>
    <row r="1647" spans="1:2" x14ac:dyDescent="0.2">
      <c r="A1647" s="12"/>
      <c r="B1647" s="9"/>
    </row>
    <row r="1648" spans="1:2" x14ac:dyDescent="0.2">
      <c r="A1648" s="12"/>
      <c r="B1648" s="9"/>
    </row>
    <row r="1649" spans="1:2" x14ac:dyDescent="0.2">
      <c r="A1649" s="12"/>
      <c r="B1649" s="9"/>
    </row>
    <row r="1650" spans="1:2" x14ac:dyDescent="0.2">
      <c r="A1650" s="12"/>
      <c r="B1650" s="9"/>
    </row>
    <row r="1651" spans="1:2" x14ac:dyDescent="0.2">
      <c r="A1651" s="12"/>
      <c r="B1651" s="9"/>
    </row>
    <row r="1652" spans="1:2" x14ac:dyDescent="0.2">
      <c r="A1652" s="12"/>
      <c r="B1652" s="9"/>
    </row>
    <row r="1653" spans="1:2" x14ac:dyDescent="0.2">
      <c r="A1653" s="12"/>
      <c r="B1653" s="9"/>
    </row>
    <row r="1654" spans="1:2" x14ac:dyDescent="0.2">
      <c r="A1654" s="12"/>
      <c r="B1654" s="9"/>
    </row>
    <row r="1655" spans="1:2" x14ac:dyDescent="0.2">
      <c r="A1655" s="12"/>
      <c r="B1655" s="9"/>
    </row>
    <row r="1656" spans="1:2" x14ac:dyDescent="0.2">
      <c r="A1656" s="12"/>
      <c r="B1656" s="9"/>
    </row>
    <row r="1657" spans="1:2" x14ac:dyDescent="0.2">
      <c r="A1657" s="12"/>
      <c r="B1657" s="9"/>
    </row>
    <row r="1658" spans="1:2" x14ac:dyDescent="0.2">
      <c r="A1658" s="12"/>
      <c r="B1658" s="9"/>
    </row>
    <row r="1659" spans="1:2" x14ac:dyDescent="0.2">
      <c r="A1659" s="12"/>
      <c r="B1659" s="9"/>
    </row>
    <row r="1660" spans="1:2" x14ac:dyDescent="0.2">
      <c r="A1660" s="12"/>
      <c r="B1660" s="9"/>
    </row>
    <row r="1661" spans="1:2" x14ac:dyDescent="0.2">
      <c r="A1661" s="12"/>
      <c r="B1661" s="9"/>
    </row>
    <row r="1662" spans="1:2" x14ac:dyDescent="0.2">
      <c r="A1662" s="12"/>
      <c r="B1662" s="9"/>
    </row>
    <row r="1663" spans="1:2" x14ac:dyDescent="0.2">
      <c r="A1663" s="12"/>
      <c r="B1663" s="9"/>
    </row>
    <row r="1664" spans="1:2" x14ac:dyDescent="0.2">
      <c r="A1664" s="12"/>
      <c r="B1664" s="9"/>
    </row>
    <row r="1665" spans="1:2" x14ac:dyDescent="0.2">
      <c r="A1665" s="12"/>
      <c r="B1665" s="9"/>
    </row>
    <row r="1666" spans="1:2" x14ac:dyDescent="0.2">
      <c r="A1666" s="12"/>
      <c r="B1666" s="9"/>
    </row>
    <row r="1667" spans="1:2" x14ac:dyDescent="0.2">
      <c r="A1667" s="12"/>
      <c r="B1667" s="9"/>
    </row>
    <row r="1668" spans="1:2" x14ac:dyDescent="0.2">
      <c r="A1668" s="12"/>
      <c r="B1668" s="9"/>
    </row>
    <row r="1669" spans="1:2" x14ac:dyDescent="0.2">
      <c r="A1669" s="12"/>
      <c r="B1669" s="9"/>
    </row>
    <row r="1670" spans="1:2" x14ac:dyDescent="0.2">
      <c r="A1670" s="12"/>
      <c r="B1670" s="9"/>
    </row>
    <row r="1671" spans="1:2" x14ac:dyDescent="0.2">
      <c r="A1671" s="12"/>
      <c r="B1671" s="9"/>
    </row>
    <row r="1672" spans="1:2" x14ac:dyDescent="0.2">
      <c r="A1672" s="12"/>
      <c r="B1672" s="9"/>
    </row>
    <row r="1673" spans="1:2" x14ac:dyDescent="0.2">
      <c r="A1673" s="12"/>
      <c r="B1673" s="9"/>
    </row>
    <row r="1674" spans="1:2" x14ac:dyDescent="0.2">
      <c r="A1674" s="12"/>
      <c r="B1674" s="9"/>
    </row>
    <row r="1675" spans="1:2" x14ac:dyDescent="0.2">
      <c r="A1675" s="12"/>
      <c r="B1675" s="9"/>
    </row>
    <row r="1676" spans="1:2" x14ac:dyDescent="0.2">
      <c r="A1676" s="12"/>
      <c r="B1676" s="9"/>
    </row>
    <row r="1677" spans="1:2" x14ac:dyDescent="0.2">
      <c r="A1677" s="12"/>
      <c r="B1677" s="9"/>
    </row>
    <row r="1678" spans="1:2" x14ac:dyDescent="0.2">
      <c r="A1678" s="12"/>
      <c r="B1678" s="9"/>
    </row>
    <row r="1679" spans="1:2" x14ac:dyDescent="0.2">
      <c r="A1679" s="12"/>
      <c r="B1679" s="9"/>
    </row>
    <row r="1680" spans="1:2" x14ac:dyDescent="0.2">
      <c r="A1680" s="12"/>
      <c r="B1680" s="9"/>
    </row>
    <row r="1681" spans="1:2" x14ac:dyDescent="0.2">
      <c r="A1681" s="12"/>
      <c r="B1681" s="9"/>
    </row>
    <row r="1682" spans="1:2" x14ac:dyDescent="0.2">
      <c r="A1682" s="12"/>
      <c r="B1682" s="9"/>
    </row>
    <row r="1683" spans="1:2" x14ac:dyDescent="0.2">
      <c r="A1683" s="12"/>
      <c r="B1683" s="9"/>
    </row>
    <row r="1684" spans="1:2" x14ac:dyDescent="0.2">
      <c r="A1684" s="12"/>
      <c r="B1684" s="9"/>
    </row>
    <row r="1685" spans="1:2" x14ac:dyDescent="0.2">
      <c r="A1685" s="12"/>
      <c r="B1685" s="9"/>
    </row>
    <row r="1686" spans="1:2" x14ac:dyDescent="0.2">
      <c r="A1686" s="12"/>
      <c r="B1686" s="9"/>
    </row>
    <row r="1687" spans="1:2" x14ac:dyDescent="0.2">
      <c r="A1687" s="12"/>
      <c r="B1687" s="9"/>
    </row>
    <row r="1688" spans="1:2" x14ac:dyDescent="0.2">
      <c r="A1688" s="12"/>
      <c r="B1688" s="9"/>
    </row>
    <row r="1689" spans="1:2" x14ac:dyDescent="0.2">
      <c r="A1689" s="12"/>
      <c r="B1689" s="9"/>
    </row>
    <row r="1690" spans="1:2" x14ac:dyDescent="0.2">
      <c r="A1690" s="12"/>
      <c r="B1690" s="9"/>
    </row>
    <row r="1691" spans="1:2" x14ac:dyDescent="0.2">
      <c r="A1691" s="12"/>
      <c r="B1691" s="9"/>
    </row>
    <row r="1692" spans="1:2" x14ac:dyDescent="0.2">
      <c r="A1692" s="12"/>
      <c r="B1692" s="9"/>
    </row>
    <row r="1693" spans="1:2" x14ac:dyDescent="0.2">
      <c r="A1693" s="12"/>
      <c r="B1693" s="9"/>
    </row>
    <row r="1694" spans="1:2" x14ac:dyDescent="0.2">
      <c r="A1694" s="12"/>
      <c r="B1694" s="9"/>
    </row>
    <row r="1695" spans="1:2" x14ac:dyDescent="0.2">
      <c r="A1695" s="12"/>
      <c r="B1695" s="9"/>
    </row>
    <row r="1696" spans="1:2" x14ac:dyDescent="0.2">
      <c r="A1696" s="12"/>
      <c r="B1696" s="9"/>
    </row>
    <row r="1697" spans="1:2" x14ac:dyDescent="0.2">
      <c r="A1697" s="12"/>
      <c r="B1697" s="9"/>
    </row>
    <row r="1698" spans="1:2" x14ac:dyDescent="0.2">
      <c r="A1698" s="12"/>
      <c r="B1698" s="9"/>
    </row>
    <row r="1699" spans="1:2" x14ac:dyDescent="0.2">
      <c r="A1699" s="12"/>
      <c r="B1699" s="9"/>
    </row>
    <row r="1700" spans="1:2" x14ac:dyDescent="0.2">
      <c r="A1700" s="12"/>
      <c r="B1700" s="9"/>
    </row>
    <row r="1701" spans="1:2" x14ac:dyDescent="0.2">
      <c r="A1701" s="12"/>
      <c r="B1701" s="9"/>
    </row>
    <row r="1702" spans="1:2" x14ac:dyDescent="0.2">
      <c r="A1702" s="12"/>
      <c r="B1702" s="9"/>
    </row>
    <row r="1703" spans="1:2" x14ac:dyDescent="0.2">
      <c r="A1703" s="12"/>
      <c r="B1703" s="9"/>
    </row>
    <row r="1704" spans="1:2" x14ac:dyDescent="0.2">
      <c r="A1704" s="12"/>
      <c r="B1704" s="9"/>
    </row>
    <row r="1705" spans="1:2" x14ac:dyDescent="0.2">
      <c r="A1705" s="12"/>
      <c r="B1705" s="9"/>
    </row>
    <row r="1706" spans="1:2" x14ac:dyDescent="0.2">
      <c r="A1706" s="12"/>
      <c r="B1706" s="9"/>
    </row>
    <row r="1707" spans="1:2" x14ac:dyDescent="0.2">
      <c r="A1707" s="12"/>
      <c r="B1707" s="9"/>
    </row>
    <row r="1708" spans="1:2" x14ac:dyDescent="0.2">
      <c r="A1708" s="12"/>
      <c r="B1708" s="9"/>
    </row>
    <row r="1709" spans="1:2" x14ac:dyDescent="0.2">
      <c r="A1709" s="12"/>
      <c r="B1709" s="9"/>
    </row>
    <row r="1710" spans="1:2" x14ac:dyDescent="0.2">
      <c r="A1710" s="12"/>
      <c r="B1710" s="9"/>
    </row>
    <row r="1711" spans="1:2" x14ac:dyDescent="0.2">
      <c r="A1711" s="12"/>
      <c r="B1711" s="9"/>
    </row>
    <row r="1712" spans="1:2" x14ac:dyDescent="0.2">
      <c r="A1712" s="12"/>
      <c r="B1712" s="9"/>
    </row>
    <row r="1713" spans="1:2" x14ac:dyDescent="0.2">
      <c r="A1713" s="12"/>
      <c r="B1713" s="9"/>
    </row>
    <row r="1714" spans="1:2" x14ac:dyDescent="0.2">
      <c r="A1714" s="12"/>
      <c r="B1714" s="9"/>
    </row>
    <row r="1715" spans="1:2" x14ac:dyDescent="0.2">
      <c r="A1715" s="12"/>
      <c r="B1715" s="9"/>
    </row>
    <row r="1716" spans="1:2" x14ac:dyDescent="0.2">
      <c r="A1716" s="12"/>
      <c r="B1716" s="9"/>
    </row>
    <row r="1717" spans="1:2" x14ac:dyDescent="0.2">
      <c r="A1717" s="12"/>
      <c r="B1717" s="9"/>
    </row>
    <row r="1718" spans="1:2" x14ac:dyDescent="0.2">
      <c r="A1718" s="12"/>
      <c r="B1718" s="9"/>
    </row>
    <row r="1719" spans="1:2" x14ac:dyDescent="0.2">
      <c r="A1719" s="12"/>
      <c r="B1719" s="9"/>
    </row>
    <row r="1720" spans="1:2" x14ac:dyDescent="0.2">
      <c r="A1720" s="12"/>
      <c r="B1720" s="9"/>
    </row>
    <row r="1721" spans="1:2" x14ac:dyDescent="0.2">
      <c r="A1721" s="12"/>
      <c r="B1721" s="9"/>
    </row>
    <row r="1722" spans="1:2" x14ac:dyDescent="0.2">
      <c r="A1722" s="12"/>
      <c r="B1722" s="9"/>
    </row>
    <row r="1723" spans="1:2" x14ac:dyDescent="0.2">
      <c r="A1723" s="12"/>
      <c r="B1723" s="9"/>
    </row>
    <row r="1724" spans="1:2" x14ac:dyDescent="0.2">
      <c r="A1724" s="12"/>
      <c r="B1724" s="9"/>
    </row>
    <row r="1725" spans="1:2" x14ac:dyDescent="0.2">
      <c r="A1725" s="12"/>
      <c r="B1725" s="9"/>
    </row>
    <row r="1726" spans="1:2" x14ac:dyDescent="0.2">
      <c r="A1726" s="12"/>
      <c r="B1726" s="9"/>
    </row>
    <row r="1727" spans="1:2" x14ac:dyDescent="0.2">
      <c r="A1727" s="12"/>
      <c r="B1727" s="9"/>
    </row>
    <row r="1728" spans="1:2" x14ac:dyDescent="0.2">
      <c r="A1728" s="12"/>
      <c r="B1728" s="9"/>
    </row>
    <row r="1729" spans="1:2" x14ac:dyDescent="0.2">
      <c r="A1729" s="12"/>
      <c r="B1729" s="9"/>
    </row>
    <row r="1730" spans="1:2" x14ac:dyDescent="0.2">
      <c r="A1730" s="12"/>
      <c r="B1730" s="9"/>
    </row>
    <row r="1731" spans="1:2" x14ac:dyDescent="0.2">
      <c r="A1731" s="12"/>
      <c r="B1731" s="9"/>
    </row>
    <row r="1732" spans="1:2" x14ac:dyDescent="0.2">
      <c r="A1732" s="12"/>
      <c r="B1732" s="9"/>
    </row>
    <row r="1733" spans="1:2" x14ac:dyDescent="0.2">
      <c r="A1733" s="12"/>
      <c r="B1733" s="9"/>
    </row>
    <row r="1734" spans="1:2" x14ac:dyDescent="0.2">
      <c r="A1734" s="12"/>
      <c r="B1734" s="9"/>
    </row>
    <row r="1735" spans="1:2" x14ac:dyDescent="0.2">
      <c r="A1735" s="12"/>
      <c r="B1735" s="9"/>
    </row>
    <row r="1736" spans="1:2" x14ac:dyDescent="0.2">
      <c r="A1736" s="12"/>
      <c r="B1736" s="9"/>
    </row>
    <row r="1737" spans="1:2" x14ac:dyDescent="0.2">
      <c r="A1737" s="12"/>
      <c r="B1737" s="9"/>
    </row>
    <row r="1738" spans="1:2" x14ac:dyDescent="0.2">
      <c r="A1738" s="12"/>
      <c r="B1738" s="9"/>
    </row>
    <row r="1739" spans="1:2" x14ac:dyDescent="0.2">
      <c r="A1739" s="12"/>
      <c r="B1739" s="9"/>
    </row>
    <row r="1740" spans="1:2" x14ac:dyDescent="0.2">
      <c r="A1740" s="12"/>
      <c r="B1740" s="9"/>
    </row>
    <row r="1741" spans="1:2" x14ac:dyDescent="0.2">
      <c r="A1741" s="12"/>
      <c r="B1741" s="9"/>
    </row>
    <row r="1742" spans="1:2" x14ac:dyDescent="0.2">
      <c r="A1742" s="12"/>
      <c r="B1742" s="9"/>
    </row>
    <row r="1743" spans="1:2" x14ac:dyDescent="0.2">
      <c r="A1743" s="12"/>
      <c r="B1743" s="9"/>
    </row>
    <row r="1744" spans="1:2" x14ac:dyDescent="0.2">
      <c r="A1744" s="12"/>
      <c r="B1744" s="9"/>
    </row>
    <row r="1745" spans="1:2" x14ac:dyDescent="0.2">
      <c r="A1745" s="12"/>
      <c r="B1745" s="9"/>
    </row>
    <row r="1746" spans="1:2" x14ac:dyDescent="0.2">
      <c r="A1746" s="12"/>
      <c r="B1746" s="9"/>
    </row>
    <row r="1747" spans="1:2" x14ac:dyDescent="0.2">
      <c r="A1747" s="12"/>
      <c r="B1747" s="9"/>
    </row>
    <row r="1748" spans="1:2" x14ac:dyDescent="0.2">
      <c r="A1748" s="12"/>
      <c r="B1748" s="9"/>
    </row>
    <row r="1749" spans="1:2" x14ac:dyDescent="0.2">
      <c r="A1749" s="12"/>
      <c r="B1749" s="9"/>
    </row>
    <row r="1750" spans="1:2" x14ac:dyDescent="0.2">
      <c r="A1750" s="12"/>
      <c r="B1750" s="9"/>
    </row>
    <row r="1751" spans="1:2" x14ac:dyDescent="0.2">
      <c r="A1751" s="12"/>
      <c r="B1751" s="9"/>
    </row>
    <row r="1752" spans="1:2" x14ac:dyDescent="0.2">
      <c r="A1752" s="12"/>
      <c r="B1752" s="9"/>
    </row>
    <row r="1753" spans="1:2" x14ac:dyDescent="0.2">
      <c r="A1753" s="12"/>
      <c r="B1753" s="9"/>
    </row>
    <row r="1754" spans="1:2" x14ac:dyDescent="0.2">
      <c r="A1754" s="12"/>
      <c r="B1754" s="9"/>
    </row>
    <row r="1755" spans="1:2" x14ac:dyDescent="0.2">
      <c r="A1755" s="12"/>
      <c r="B1755" s="9"/>
    </row>
    <row r="1756" spans="1:2" x14ac:dyDescent="0.2">
      <c r="A1756" s="12"/>
      <c r="B1756" s="9"/>
    </row>
    <row r="1757" spans="1:2" x14ac:dyDescent="0.2">
      <c r="A1757" s="12"/>
      <c r="B1757" s="9"/>
    </row>
    <row r="1758" spans="1:2" x14ac:dyDescent="0.2">
      <c r="A1758" s="12"/>
      <c r="B1758" s="9"/>
    </row>
    <row r="1759" spans="1:2" x14ac:dyDescent="0.2">
      <c r="A1759" s="12"/>
      <c r="B1759" s="9"/>
    </row>
    <row r="1760" spans="1:2" x14ac:dyDescent="0.2">
      <c r="A1760" s="12"/>
      <c r="B1760" s="9"/>
    </row>
    <row r="1761" spans="1:2" x14ac:dyDescent="0.2">
      <c r="A1761" s="12"/>
      <c r="B1761" s="9"/>
    </row>
    <row r="1762" spans="1:2" x14ac:dyDescent="0.2">
      <c r="A1762" s="12"/>
      <c r="B1762" s="9"/>
    </row>
    <row r="1763" spans="1:2" x14ac:dyDescent="0.2">
      <c r="A1763" s="12"/>
      <c r="B1763" s="9"/>
    </row>
    <row r="1764" spans="1:2" x14ac:dyDescent="0.2">
      <c r="A1764" s="12"/>
      <c r="B1764" s="9"/>
    </row>
    <row r="1765" spans="1:2" x14ac:dyDescent="0.2">
      <c r="A1765" s="12"/>
      <c r="B1765" s="9"/>
    </row>
    <row r="1766" spans="1:2" x14ac:dyDescent="0.2">
      <c r="A1766" s="12"/>
      <c r="B1766" s="9"/>
    </row>
    <row r="1767" spans="1:2" x14ac:dyDescent="0.2">
      <c r="A1767" s="12"/>
      <c r="B1767" s="9"/>
    </row>
    <row r="1768" spans="1:2" x14ac:dyDescent="0.2">
      <c r="A1768" s="12"/>
      <c r="B1768" s="9"/>
    </row>
    <row r="1769" spans="1:2" x14ac:dyDescent="0.2">
      <c r="A1769" s="12"/>
      <c r="B1769" s="9"/>
    </row>
    <row r="1770" spans="1:2" x14ac:dyDescent="0.2">
      <c r="A1770" s="12"/>
      <c r="B1770" s="9"/>
    </row>
    <row r="1771" spans="1:2" x14ac:dyDescent="0.2">
      <c r="A1771" s="12"/>
      <c r="B1771" s="9"/>
    </row>
    <row r="1772" spans="1:2" x14ac:dyDescent="0.2">
      <c r="A1772" s="12"/>
      <c r="B1772" s="9"/>
    </row>
    <row r="1773" spans="1:2" x14ac:dyDescent="0.2">
      <c r="A1773" s="12"/>
      <c r="B1773" s="9"/>
    </row>
    <row r="1774" spans="1:2" x14ac:dyDescent="0.2">
      <c r="A1774" s="12"/>
      <c r="B1774" s="9"/>
    </row>
    <row r="1775" spans="1:2" x14ac:dyDescent="0.2">
      <c r="A1775" s="12"/>
      <c r="B1775" s="9"/>
    </row>
    <row r="1776" spans="1:2" x14ac:dyDescent="0.2">
      <c r="A1776" s="12"/>
      <c r="B1776" s="9"/>
    </row>
    <row r="1777" spans="1:2" x14ac:dyDescent="0.2">
      <c r="A1777" s="12"/>
      <c r="B1777" s="9"/>
    </row>
    <row r="1778" spans="1:2" x14ac:dyDescent="0.2">
      <c r="A1778" s="12"/>
      <c r="B1778" s="9"/>
    </row>
    <row r="1779" spans="1:2" x14ac:dyDescent="0.2">
      <c r="A1779" s="12"/>
      <c r="B1779" s="9"/>
    </row>
    <row r="1780" spans="1:2" x14ac:dyDescent="0.2">
      <c r="A1780" s="12"/>
      <c r="B1780" s="9"/>
    </row>
    <row r="1781" spans="1:2" x14ac:dyDescent="0.2">
      <c r="A1781" s="12"/>
      <c r="B1781" s="9"/>
    </row>
    <row r="1782" spans="1:2" x14ac:dyDescent="0.2">
      <c r="A1782" s="12"/>
      <c r="B1782" s="9"/>
    </row>
    <row r="1783" spans="1:2" x14ac:dyDescent="0.2">
      <c r="A1783" s="12"/>
      <c r="B1783" s="9"/>
    </row>
    <row r="1784" spans="1:2" x14ac:dyDescent="0.2">
      <c r="A1784" s="12"/>
      <c r="B1784" s="9"/>
    </row>
    <row r="1785" spans="1:2" x14ac:dyDescent="0.2">
      <c r="A1785" s="12"/>
      <c r="B1785" s="9"/>
    </row>
    <row r="1786" spans="1:2" x14ac:dyDescent="0.2">
      <c r="A1786" s="12"/>
      <c r="B1786" s="9"/>
    </row>
    <row r="1787" spans="1:2" x14ac:dyDescent="0.2">
      <c r="A1787" s="12"/>
      <c r="B1787" s="9"/>
    </row>
    <row r="1788" spans="1:2" x14ac:dyDescent="0.2">
      <c r="A1788" s="12"/>
      <c r="B1788" s="9"/>
    </row>
    <row r="1789" spans="1:2" x14ac:dyDescent="0.2">
      <c r="A1789" s="12"/>
      <c r="B1789" s="9"/>
    </row>
    <row r="1790" spans="1:2" x14ac:dyDescent="0.2">
      <c r="A1790" s="12"/>
      <c r="B1790" s="9"/>
    </row>
    <row r="1791" spans="1:2" x14ac:dyDescent="0.2">
      <c r="A1791" s="12"/>
      <c r="B1791" s="9"/>
    </row>
    <row r="1792" spans="1:2" x14ac:dyDescent="0.2">
      <c r="A1792" s="12"/>
      <c r="B1792" s="9"/>
    </row>
    <row r="1793" spans="1:2" x14ac:dyDescent="0.2">
      <c r="A1793" s="12"/>
      <c r="B1793" s="9"/>
    </row>
    <row r="1794" spans="1:2" x14ac:dyDescent="0.2">
      <c r="A1794" s="12"/>
      <c r="B1794" s="9"/>
    </row>
    <row r="1795" spans="1:2" x14ac:dyDescent="0.2">
      <c r="A1795" s="12"/>
      <c r="B1795" s="9"/>
    </row>
    <row r="1796" spans="1:2" x14ac:dyDescent="0.2">
      <c r="A1796" s="12"/>
      <c r="B1796" s="9"/>
    </row>
    <row r="1797" spans="1:2" x14ac:dyDescent="0.2">
      <c r="A1797" s="12"/>
      <c r="B1797" s="9"/>
    </row>
    <row r="1798" spans="1:2" x14ac:dyDescent="0.2">
      <c r="A1798" s="12"/>
      <c r="B1798" s="9"/>
    </row>
    <row r="1799" spans="1:2" x14ac:dyDescent="0.2">
      <c r="A1799" s="12"/>
      <c r="B1799" s="9"/>
    </row>
    <row r="1800" spans="1:2" x14ac:dyDescent="0.2">
      <c r="A1800" s="12"/>
      <c r="B1800" s="9"/>
    </row>
    <row r="1801" spans="1:2" x14ac:dyDescent="0.2">
      <c r="A1801" s="12"/>
      <c r="B1801" s="9"/>
    </row>
    <row r="1802" spans="1:2" x14ac:dyDescent="0.2">
      <c r="A1802" s="12"/>
      <c r="B1802" s="9"/>
    </row>
    <row r="1803" spans="1:2" x14ac:dyDescent="0.2">
      <c r="A1803" s="12"/>
      <c r="B1803" s="9"/>
    </row>
    <row r="1804" spans="1:2" x14ac:dyDescent="0.2">
      <c r="A1804" s="12"/>
      <c r="B1804" s="9"/>
    </row>
    <row r="1805" spans="1:2" x14ac:dyDescent="0.2">
      <c r="A1805" s="12"/>
      <c r="B1805" s="9"/>
    </row>
    <row r="1806" spans="1:2" x14ac:dyDescent="0.2">
      <c r="A1806" s="12"/>
      <c r="B1806" s="9"/>
    </row>
    <row r="1807" spans="1:2" x14ac:dyDescent="0.2">
      <c r="A1807" s="12"/>
      <c r="B1807" s="9"/>
    </row>
    <row r="1808" spans="1:2" x14ac:dyDescent="0.2">
      <c r="A1808" s="12"/>
      <c r="B1808" s="9"/>
    </row>
    <row r="1809" spans="1:2" x14ac:dyDescent="0.2">
      <c r="A1809" s="12"/>
      <c r="B1809" s="9"/>
    </row>
    <row r="1810" spans="1:2" x14ac:dyDescent="0.2">
      <c r="A1810" s="12"/>
      <c r="B1810" s="9"/>
    </row>
    <row r="1811" spans="1:2" x14ac:dyDescent="0.2">
      <c r="A1811" s="12"/>
      <c r="B1811" s="9"/>
    </row>
    <row r="1812" spans="1:2" x14ac:dyDescent="0.2">
      <c r="A1812" s="12"/>
      <c r="B1812" s="9"/>
    </row>
    <row r="1813" spans="1:2" x14ac:dyDescent="0.2">
      <c r="A1813" s="12"/>
      <c r="B1813" s="9"/>
    </row>
    <row r="1814" spans="1:2" x14ac:dyDescent="0.2">
      <c r="A1814" s="12"/>
      <c r="B1814" s="9"/>
    </row>
    <row r="1815" spans="1:2" x14ac:dyDescent="0.2">
      <c r="A1815" s="12"/>
      <c r="B1815" s="9"/>
    </row>
    <row r="1816" spans="1:2" x14ac:dyDescent="0.2">
      <c r="A1816" s="12"/>
      <c r="B1816" s="9"/>
    </row>
    <row r="1817" spans="1:2" x14ac:dyDescent="0.2">
      <c r="A1817" s="12"/>
      <c r="B1817" s="9"/>
    </row>
    <row r="1818" spans="1:2" x14ac:dyDescent="0.2">
      <c r="A1818" s="12"/>
      <c r="B1818" s="9"/>
    </row>
    <row r="1819" spans="1:2" x14ac:dyDescent="0.2">
      <c r="A1819" s="12"/>
      <c r="B1819" s="9"/>
    </row>
    <row r="1820" spans="1:2" x14ac:dyDescent="0.2">
      <c r="A1820" s="12"/>
      <c r="B1820" s="9"/>
    </row>
    <row r="1821" spans="1:2" x14ac:dyDescent="0.2">
      <c r="A1821" s="12"/>
      <c r="B1821" s="9"/>
    </row>
    <row r="1822" spans="1:2" x14ac:dyDescent="0.2">
      <c r="A1822" s="12"/>
      <c r="B1822" s="9"/>
    </row>
    <row r="1823" spans="1:2" x14ac:dyDescent="0.2">
      <c r="A1823" s="12"/>
      <c r="B1823" s="9"/>
    </row>
    <row r="1824" spans="1:2" x14ac:dyDescent="0.2">
      <c r="A1824" s="12"/>
      <c r="B1824" s="9"/>
    </row>
    <row r="1825" spans="1:2" x14ac:dyDescent="0.2">
      <c r="A1825" s="12"/>
      <c r="B1825" s="9"/>
    </row>
    <row r="1826" spans="1:2" x14ac:dyDescent="0.2">
      <c r="A1826" s="12"/>
      <c r="B1826" s="9"/>
    </row>
    <row r="1827" spans="1:2" x14ac:dyDescent="0.2">
      <c r="A1827" s="12"/>
      <c r="B1827" s="9"/>
    </row>
    <row r="1828" spans="1:2" x14ac:dyDescent="0.2">
      <c r="A1828" s="12"/>
      <c r="B1828" s="9"/>
    </row>
    <row r="1829" spans="1:2" x14ac:dyDescent="0.2">
      <c r="A1829" s="12"/>
      <c r="B1829" s="9"/>
    </row>
    <row r="1830" spans="1:2" x14ac:dyDescent="0.2">
      <c r="A1830" s="12"/>
      <c r="B1830" s="9"/>
    </row>
    <row r="1831" spans="1:2" x14ac:dyDescent="0.2">
      <c r="A1831" s="12"/>
      <c r="B1831" s="9"/>
    </row>
    <row r="1832" spans="1:2" x14ac:dyDescent="0.2">
      <c r="A1832" s="12"/>
      <c r="B1832" s="9"/>
    </row>
    <row r="1833" spans="1:2" x14ac:dyDescent="0.2">
      <c r="A1833" s="12"/>
      <c r="B1833" s="9"/>
    </row>
    <row r="1834" spans="1:2" x14ac:dyDescent="0.2">
      <c r="A1834" s="12"/>
      <c r="B1834" s="9"/>
    </row>
    <row r="1835" spans="1:2" x14ac:dyDescent="0.2">
      <c r="A1835" s="12"/>
      <c r="B1835" s="9"/>
    </row>
    <row r="1836" spans="1:2" x14ac:dyDescent="0.2">
      <c r="A1836" s="12"/>
      <c r="B1836" s="9"/>
    </row>
    <row r="1837" spans="1:2" x14ac:dyDescent="0.2">
      <c r="A1837" s="12"/>
      <c r="B1837" s="9"/>
    </row>
    <row r="1838" spans="1:2" x14ac:dyDescent="0.2">
      <c r="A1838" s="12"/>
      <c r="B1838" s="9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Jährlich</vt:lpstr>
      <vt:lpstr>Litecoin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2022-02-20T08:53:11Z</dcterms:created>
  <dcterms:modified xsi:type="dcterms:W3CDTF">2022-02-28T08:14:49Z</dcterms:modified>
</cp:coreProperties>
</file>